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QL\sql project air bnb\"/>
    </mc:Choice>
  </mc:AlternateContent>
  <bookViews>
    <workbookView xWindow="0" yWindow="0" windowWidth="19200" windowHeight="7060" firstSheet="3" activeTab="3"/>
  </bookViews>
  <sheets>
    <sheet name="Q1 Room Type &amp; Supply" sheetId="1" r:id="rId1"/>
    <sheet name="Q2 Host Concentration" sheetId="2" r:id="rId2"/>
    <sheet name="Q3 Neighbourhood Prices" sheetId="3" r:id="rId3"/>
    <sheet name="Q4 Superhost Pricing" sheetId="4" r:id="rId4"/>
    <sheet name="Q5 Seasonal Availability" sheetId="5" r:id="rId5"/>
    <sheet name="Inspection" sheetId="7" r:id="rId6"/>
  </sheets>
  <calcPr calcId="162913"/>
  <pivotCaches>
    <pivotCache cacheId="3" r:id="rId7"/>
    <pivotCache cacheId="11" r:id="rId8"/>
    <pivotCache cacheId="16" r:id="rId9"/>
    <pivotCache cacheId="20" r:id="rId10"/>
  </pivotCaches>
</workbook>
</file>

<file path=xl/calcChain.xml><?xml version="1.0" encoding="utf-8"?>
<calcChain xmlns="http://schemas.openxmlformats.org/spreadsheetml/2006/main"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4" i="3"/>
  <c r="H5" i="3"/>
  <c r="H6" i="3"/>
  <c r="H3" i="3"/>
</calcChain>
</file>

<file path=xl/sharedStrings.xml><?xml version="1.0" encoding="utf-8"?>
<sst xmlns="http://schemas.openxmlformats.org/spreadsheetml/2006/main" count="1771" uniqueCount="303">
  <si>
    <t>How is NYC inventory distributed across boroughs and room types, along with guest capacity?</t>
  </si>
  <si>
    <t>borough</t>
  </si>
  <si>
    <t>room_type</t>
  </si>
  <si>
    <t>listing_count</t>
  </si>
  <si>
    <t>pct_of_borough_inventory</t>
  </si>
  <si>
    <t>pct_of_total_inventory</t>
  </si>
  <si>
    <t>total_capacity</t>
  </si>
  <si>
    <t>avg_capacity</t>
  </si>
  <si>
    <t>Bronx</t>
  </si>
  <si>
    <t>Private room</t>
  </si>
  <si>
    <t>Entire home/apt</t>
  </si>
  <si>
    <t>Shared room</t>
  </si>
  <si>
    <t>Brooklyn</t>
  </si>
  <si>
    <t>Hotel room</t>
  </si>
  <si>
    <t>Manhattan</t>
  </si>
  <si>
    <t>Queens</t>
  </si>
  <si>
    <t>Staten Island</t>
  </si>
  <si>
    <t>How many hosts manage one listing compared with hosts managing multiple listings?</t>
  </si>
  <si>
    <t>host_type</t>
  </si>
  <si>
    <t>host_count</t>
  </si>
  <si>
    <t>pct_of_hosts</t>
  </si>
  <si>
    <t>pct_of_listings</t>
  </si>
  <si>
    <t>Multi-property host</t>
  </si>
  <si>
    <t>Single-property host</t>
  </si>
  <si>
    <t>How does listed price vary across neighbourhoods and room types?</t>
  </si>
  <si>
    <t>neighbourhood</t>
  </si>
  <si>
    <t>priced_listing_count</t>
  </si>
  <si>
    <t>avg_price</t>
  </si>
  <si>
    <t>min_price</t>
  </si>
  <si>
    <t>max_price</t>
  </si>
  <si>
    <t>West Farms</t>
  </si>
  <si>
    <t>Claremont Village</t>
  </si>
  <si>
    <t>Wakefield</t>
  </si>
  <si>
    <t>Morris Heights</t>
  </si>
  <si>
    <t>Spuyten Duyvil</t>
  </si>
  <si>
    <t>Van Nest</t>
  </si>
  <si>
    <t>Soundview</t>
  </si>
  <si>
    <t>Longwood</t>
  </si>
  <si>
    <t>Mott Haven</t>
  </si>
  <si>
    <t>Hunts Point</t>
  </si>
  <si>
    <t>City Island</t>
  </si>
  <si>
    <t>East Morrisania</t>
  </si>
  <si>
    <t>Concourse Village</t>
  </si>
  <si>
    <t>Unionport</t>
  </si>
  <si>
    <t>Olinville</t>
  </si>
  <si>
    <t>Mount Hope</t>
  </si>
  <si>
    <t>Port Morris</t>
  </si>
  <si>
    <t>Throgs Neck</t>
  </si>
  <si>
    <t>Parkchester</t>
  </si>
  <si>
    <t>University Heights</t>
  </si>
  <si>
    <t>Pelham Gardens</t>
  </si>
  <si>
    <t>Fieldston</t>
  </si>
  <si>
    <t>Allerton</t>
  </si>
  <si>
    <t>Kingsbridge</t>
  </si>
  <si>
    <t>Fordham</t>
  </si>
  <si>
    <t>Castle Hill</t>
  </si>
  <si>
    <t>Bronxdale</t>
  </si>
  <si>
    <t>Woodlawn</t>
  </si>
  <si>
    <t>Clason Point</t>
  </si>
  <si>
    <t>Morris Park</t>
  </si>
  <si>
    <t>Eastchester</t>
  </si>
  <si>
    <t>Norwood</t>
  </si>
  <si>
    <t>Concourse</t>
  </si>
  <si>
    <t>Belmont</t>
  </si>
  <si>
    <t>Riverdale</t>
  </si>
  <si>
    <t>Schuylerville</t>
  </si>
  <si>
    <t>Melrose</t>
  </si>
  <si>
    <t>Baychester</t>
  </si>
  <si>
    <t>Westchester Square</t>
  </si>
  <si>
    <t>Highbridge</t>
  </si>
  <si>
    <t>Mount Eden</t>
  </si>
  <si>
    <t>Tremont</t>
  </si>
  <si>
    <t>Pelham Bay</t>
  </si>
  <si>
    <t>Edenwald</t>
  </si>
  <si>
    <t>Williamsbridge</t>
  </si>
  <si>
    <t>Morrisania</t>
  </si>
  <si>
    <t>Co-op City</t>
  </si>
  <si>
    <t>North Riverdale</t>
  </si>
  <si>
    <t>Country Club</t>
  </si>
  <si>
    <t>DUMBO</t>
  </si>
  <si>
    <t>Prospect Heights</t>
  </si>
  <si>
    <t>Gerritsen Beach</t>
  </si>
  <si>
    <t>Cobble Hill</t>
  </si>
  <si>
    <t>Greenpoint</t>
  </si>
  <si>
    <t>Brooklyn Heights</t>
  </si>
  <si>
    <t>Boerum Hill</t>
  </si>
  <si>
    <t>Vinegar Hill</t>
  </si>
  <si>
    <t>Park Slope</t>
  </si>
  <si>
    <t>Gowanus</t>
  </si>
  <si>
    <t>Clinton Hill</t>
  </si>
  <si>
    <t>Williamsburg</t>
  </si>
  <si>
    <t>Columbia St</t>
  </si>
  <si>
    <t>Carroll Gardens</t>
  </si>
  <si>
    <t>Red Hook</t>
  </si>
  <si>
    <t>Crown Heights</t>
  </si>
  <si>
    <t>Bergen Beach</t>
  </si>
  <si>
    <t>South Slope</t>
  </si>
  <si>
    <t>Sunset Park</t>
  </si>
  <si>
    <t>Downtown Brooklyn</t>
  </si>
  <si>
    <t>Fort Greene</t>
  </si>
  <si>
    <t>Bedford-Stuyvesant</t>
  </si>
  <si>
    <t>Cypress Hills</t>
  </si>
  <si>
    <t>Fort Hamilton</t>
  </si>
  <si>
    <t>Sheepshead Bay</t>
  </si>
  <si>
    <t>Mill Basin</t>
  </si>
  <si>
    <t>Coney Island</t>
  </si>
  <si>
    <t>Bushwick</t>
  </si>
  <si>
    <t>Kensington</t>
  </si>
  <si>
    <t>Windsor Terrace</t>
  </si>
  <si>
    <t>Flatlands</t>
  </si>
  <si>
    <t>Prospect-Lefferts Gardens</t>
  </si>
  <si>
    <t>East New York</t>
  </si>
  <si>
    <t>Canarsie</t>
  </si>
  <si>
    <t>Flatbush</t>
  </si>
  <si>
    <t>Gravesend</t>
  </si>
  <si>
    <t>East Flatbush</t>
  </si>
  <si>
    <t>Brighton Beach</t>
  </si>
  <si>
    <t>Borough Park</t>
  </si>
  <si>
    <t>Bath Beach</t>
  </si>
  <si>
    <t>Sea Gate</t>
  </si>
  <si>
    <t>Bensonhurst</t>
  </si>
  <si>
    <t>Brownsville</t>
  </si>
  <si>
    <t>Bay Ridge</t>
  </si>
  <si>
    <t>Manhattan Beach</t>
  </si>
  <si>
    <t>Midwood</t>
  </si>
  <si>
    <t>Navy Yard</t>
  </si>
  <si>
    <t>Dyker Heights</t>
  </si>
  <si>
    <t>NoHo</t>
  </si>
  <si>
    <t>Civic Center</t>
  </si>
  <si>
    <t>Theater District</t>
  </si>
  <si>
    <t>Financial District</t>
  </si>
  <si>
    <t>SoHo</t>
  </si>
  <si>
    <t>Midtown</t>
  </si>
  <si>
    <t>Greenwich Village</t>
  </si>
  <si>
    <t>West Village</t>
  </si>
  <si>
    <t>Tribeca</t>
  </si>
  <si>
    <t>Stuyvesant Town</t>
  </si>
  <si>
    <t>Lower East Side</t>
  </si>
  <si>
    <t>Murray Hill</t>
  </si>
  <si>
    <t>Nolita</t>
  </si>
  <si>
    <t>Chelsea</t>
  </si>
  <si>
    <t>Chinatown</t>
  </si>
  <si>
    <t>Hell's Kitchen</t>
  </si>
  <si>
    <t>Gramercy</t>
  </si>
  <si>
    <t>East Village</t>
  </si>
  <si>
    <t>Two Bridges</t>
  </si>
  <si>
    <t>Upper East Side</t>
  </si>
  <si>
    <t>Battery Park City</t>
  </si>
  <si>
    <t>Flatiron District</t>
  </si>
  <si>
    <t>Kips Bay</t>
  </si>
  <si>
    <t>Little Italy</t>
  </si>
  <si>
    <t>Upper West Side</t>
  </si>
  <si>
    <t>Morningside Heights</t>
  </si>
  <si>
    <t>Marble Hill</t>
  </si>
  <si>
    <t>Harlem</t>
  </si>
  <si>
    <t>East Harlem</t>
  </si>
  <si>
    <t>Washington Heights</t>
  </si>
  <si>
    <t>Inwood</t>
  </si>
  <si>
    <t>Roosevelt Island</t>
  </si>
  <si>
    <t>Hollis Hills</t>
  </si>
  <si>
    <t>Holliswood</t>
  </si>
  <si>
    <t>Edgemere</t>
  </si>
  <si>
    <t>Neponsit</t>
  </si>
  <si>
    <t>Jamaica Estates</t>
  </si>
  <si>
    <t>Arverne</t>
  </si>
  <si>
    <t>Belle Harbor</t>
  </si>
  <si>
    <t>Long Island City</t>
  </si>
  <si>
    <t>Springfield Gardens</t>
  </si>
  <si>
    <t>Astoria</t>
  </si>
  <si>
    <t>Ridgewood</t>
  </si>
  <si>
    <t>Far Rockaway</t>
  </si>
  <si>
    <t>Bayside</t>
  </si>
  <si>
    <t>Howard Beach</t>
  </si>
  <si>
    <t>Breezy Point</t>
  </si>
  <si>
    <t>Bellerose</t>
  </si>
  <si>
    <t>College Point</t>
  </si>
  <si>
    <t>Glendale</t>
  </si>
  <si>
    <t>Maspeth</t>
  </si>
  <si>
    <t>Richmond Hill</t>
  </si>
  <si>
    <t>Ditmars Steinway</t>
  </si>
  <si>
    <t>Rosedale</t>
  </si>
  <si>
    <t>Jamaica</t>
  </si>
  <si>
    <t>Flushing</t>
  </si>
  <si>
    <t>South Ozone Park</t>
  </si>
  <si>
    <t>Laurelton</t>
  </si>
  <si>
    <t>St. Albans</t>
  </si>
  <si>
    <t>East Elmhurst</t>
  </si>
  <si>
    <t>Rego Park</t>
  </si>
  <si>
    <t>Middle Village</t>
  </si>
  <si>
    <t>Whitestone</t>
  </si>
  <si>
    <t>Corona</t>
  </si>
  <si>
    <t>Kew Gardens Hills</t>
  </si>
  <si>
    <t>Jackson Heights</t>
  </si>
  <si>
    <t>Forest Hills</t>
  </si>
  <si>
    <t>Rockaway Beach</t>
  </si>
  <si>
    <t>Sunnyside</t>
  </si>
  <si>
    <t>Kew Gardens</t>
  </si>
  <si>
    <t>Elmhurst</t>
  </si>
  <si>
    <t>Queens Village</t>
  </si>
  <si>
    <t>Briarwood</t>
  </si>
  <si>
    <t>Woodside</t>
  </si>
  <si>
    <t>Woodhaven</t>
  </si>
  <si>
    <t>Cambria Heights</t>
  </si>
  <si>
    <t>Jamaica Hills</t>
  </si>
  <si>
    <t>Ozone Park</t>
  </si>
  <si>
    <t>Hollis</t>
  </si>
  <si>
    <t>Douglaston</t>
  </si>
  <si>
    <t>Fresh Meadows</t>
  </si>
  <si>
    <t>Bayswater</t>
  </si>
  <si>
    <t>New Springville</t>
  </si>
  <si>
    <t>Grymes Hill</t>
  </si>
  <si>
    <t>Willowbrook</t>
  </si>
  <si>
    <t>Dongan Hills</t>
  </si>
  <si>
    <t>Lighthouse Hill</t>
  </si>
  <si>
    <t>Concord</t>
  </si>
  <si>
    <t>Westerleigh</t>
  </si>
  <si>
    <t>Tottenville</t>
  </si>
  <si>
    <t>Stapleton</t>
  </si>
  <si>
    <t>Bull's Head</t>
  </si>
  <si>
    <t>Arrochar</t>
  </si>
  <si>
    <t>Randall Manor</t>
  </si>
  <si>
    <t>Emerson Hill</t>
  </si>
  <si>
    <t>St. George</t>
  </si>
  <si>
    <t>Castleton Corners</t>
  </si>
  <si>
    <t>Prince's Bay</t>
  </si>
  <si>
    <t>Midland Beach</t>
  </si>
  <si>
    <t>Howland Hook</t>
  </si>
  <si>
    <t>Arden Heights</t>
  </si>
  <si>
    <t>Tompkinsville</t>
  </si>
  <si>
    <t>Clifton</t>
  </si>
  <si>
    <t>Silver Lake</t>
  </si>
  <si>
    <t>Eltingville</t>
  </si>
  <si>
    <t>Grant City</t>
  </si>
  <si>
    <t>Rosebank</t>
  </si>
  <si>
    <t>Rossville</t>
  </si>
  <si>
    <t>West Brighton</t>
  </si>
  <si>
    <t>Huguenot</t>
  </si>
  <si>
    <t>Mariners Harbor</t>
  </si>
  <si>
    <t>New Brighton</t>
  </si>
  <si>
    <t>Great Kills</t>
  </si>
  <si>
    <t>South Beach</t>
  </si>
  <si>
    <t>Shore Acres</t>
  </si>
  <si>
    <t>Port Richmond</t>
  </si>
  <si>
    <t>Graniteville</t>
  </si>
  <si>
    <t>Chelsea, Staten Island</t>
  </si>
  <si>
    <t>Fort Wadsworth</t>
  </si>
  <si>
    <t>Bay Terrace</t>
  </si>
  <si>
    <t>Little Neck</t>
  </si>
  <si>
    <t>Bay Terrace, Staten Island</t>
  </si>
  <si>
    <t>Todt Hill</t>
  </si>
  <si>
    <t>New Dorp Beach</t>
  </si>
  <si>
    <t>Woodrow</t>
  </si>
  <si>
    <t>How does listed price differ between superhosts and non-superhosts across room types?</t>
  </si>
  <si>
    <t>host_status</t>
  </si>
  <si>
    <t>non-superhost</t>
  </si>
  <si>
    <t>superhost</t>
  </si>
  <si>
    <t>How does availability change across the year by room type compared with listed price?</t>
  </si>
  <si>
    <t>month_number</t>
  </si>
  <si>
    <t>month_name</t>
  </si>
  <si>
    <t>calendar_rows</t>
  </si>
  <si>
    <t>availability_pct</t>
  </si>
  <si>
    <t>avg_listed_price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</si>
  <si>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</si>
  <si>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</si>
  <si>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</si>
  <si>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</si>
  <si>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</si>
  <si>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</si>
  <si>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</si>
  <si>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</si>
  <si>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</si>
  <si>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</si>
  <si>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</si>
  <si>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</si>
  <si>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phase 4 — integrity check outcomes</t>
  </si>
  <si>
    <t>check</t>
  </si>
  <si>
    <t>outcome</t>
  </si>
  <si>
    <t>listings row count</t>
  </si>
  <si>
    <t>calendar row count</t>
  </si>
  <si>
    <t>reviews row count</t>
  </si>
  <si>
    <t>neighbourhoods row count</t>
  </si>
  <si>
    <t>duplicate listing ids</t>
  </si>
  <si>
    <t>orphan calendar rows</t>
  </si>
  <si>
    <t>orphan calendar listings</t>
  </si>
  <si>
    <t>listing neighbourhoods</t>
  </si>
  <si>
    <t>matched neighbourhoods</t>
  </si>
  <si>
    <t>duplicate listing-date rows</t>
  </si>
  <si>
    <t>invalid accommodates</t>
  </si>
  <si>
    <t>invalid price</t>
  </si>
  <si>
    <t>invalid rating</t>
  </si>
  <si>
    <t>calendar availability values</t>
  </si>
  <si>
    <t>t / f</t>
  </si>
  <si>
    <t>Row Labels</t>
  </si>
  <si>
    <t>Grand Total</t>
  </si>
  <si>
    <t>Column Labels</t>
  </si>
  <si>
    <t>Sum of listing_count</t>
  </si>
  <si>
    <t>weighted_price</t>
  </si>
  <si>
    <t>Sum of weighted_price</t>
  </si>
  <si>
    <t>Total Sum of weighted_price</t>
  </si>
  <si>
    <t>Total Sum of priced_listing_count</t>
  </si>
  <si>
    <t>Sum of priced_listing_count</t>
  </si>
  <si>
    <t>Average of avg_price</t>
  </si>
  <si>
    <t>Average of availability_pct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</si>
</sst>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Fill="1"/>
    <xf numFmtId="0" fontId="5" fillId="0" borderId="0" xfId="0" applyFont="1" applyFill="1" applyAlignment="1">
      <alignment horizontal="center"/>
    </xf>
    <xf numFmtId="0" fontId="3" fillId="0" borderId="0" xfId="0" applyFont="1"/>
    <xf numFmtId="0" fontId="0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[Inside_Airbnb_NYC_Phase3_Analysis.xlsx]Q1 Room Type &amp; Supply!PivotTable1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313303111726575"/>
          <c:y val="7.1873595562618228E-2"/>
          <c:w val="0.67144747241167346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 Room Type &amp; Supply'!$J$3:$J$4</c:f>
              <c:strCache>
                <c:ptCount val="1"/>
                <c:pt idx="0">
                  <c:v>Entire home/apt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Room Type &amp; Supply'!$I$5:$I$10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'Q1 Room Type &amp; Supply'!$J$5:$J$10</c:f>
              <c:numCache>
                <c:formatCode>General</c:formatCode>
                <c:ptCount val="5"/>
                <c:pt idx="0">
                  <c:v>385</c:v>
                </c:pt>
                <c:pt idx="1">
                  <c:v>5529</c:v>
                </c:pt>
                <c:pt idx="2">
                  <c:v>9035</c:v>
                </c:pt>
                <c:pt idx="3">
                  <c:v>1711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E-4C86-AE64-51C84F8E5B0C}"/>
            </c:ext>
          </c:extLst>
        </c:ser>
        <c:ser>
          <c:idx val="1"/>
          <c:order val="1"/>
          <c:tx>
            <c:strRef>
              <c:f>'Q1 Room Type &amp; Supply'!$K$3:$K$4</c:f>
              <c:strCache>
                <c:ptCount val="1"/>
                <c:pt idx="0">
                  <c:v>Hotel room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 Room Type &amp; Supply'!$I$5:$I$10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'Q1 Room Type &amp; Supply'!$K$5:$K$10</c:f>
              <c:numCache>
                <c:formatCode>General</c:formatCode>
                <c:ptCount val="5"/>
                <c:pt idx="1">
                  <c:v>43</c:v>
                </c:pt>
                <c:pt idx="2">
                  <c:v>384</c:v>
                </c:pt>
                <c:pt idx="3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E-4C86-AE64-51C84F8E5B0C}"/>
            </c:ext>
          </c:extLst>
        </c:ser>
        <c:ser>
          <c:idx val="2"/>
          <c:order val="2"/>
          <c:tx>
            <c:strRef>
              <c:f>'Q1 Room Type &amp; Supply'!$L$3:$L$4</c:f>
              <c:strCache>
                <c:ptCount val="1"/>
                <c:pt idx="0">
                  <c:v>Private room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'Q1 Room Type &amp; Supply'!$I$5:$I$10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'Q1 Room Type &amp; Supply'!$L$5:$L$10</c:f>
              <c:numCache>
                <c:formatCode>General</c:formatCode>
                <c:ptCount val="5"/>
                <c:pt idx="0">
                  <c:v>589</c:v>
                </c:pt>
                <c:pt idx="1">
                  <c:v>4889</c:v>
                </c:pt>
                <c:pt idx="2">
                  <c:v>4222</c:v>
                </c:pt>
                <c:pt idx="3">
                  <c:v>2832</c:v>
                </c:pt>
                <c:pt idx="4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E-4C86-AE64-51C84F8E5B0C}"/>
            </c:ext>
          </c:extLst>
        </c:ser>
        <c:ser>
          <c:idx val="3"/>
          <c:order val="3"/>
          <c:tx>
            <c:strRef>
              <c:f>'Q1 Room Type &amp; Supply'!$M$3:$M$4</c:f>
              <c:strCache>
                <c:ptCount val="1"/>
                <c:pt idx="0">
                  <c:v>Shared room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'Q1 Room Type &amp; Supply'!$I$5:$I$10</c:f>
              <c:strCache>
                <c:ptCount val="5"/>
                <c:pt idx="0">
                  <c:v>Bronx</c:v>
                </c:pt>
                <c:pt idx="1">
                  <c:v>Brooklyn</c:v>
                </c:pt>
                <c:pt idx="2">
                  <c:v>Manhattan</c:v>
                </c:pt>
                <c:pt idx="3">
                  <c:v>Queens</c:v>
                </c:pt>
                <c:pt idx="4">
                  <c:v>Staten Island</c:v>
                </c:pt>
              </c:strCache>
            </c:strRef>
          </c:cat>
          <c:val>
            <c:numRef>
              <c:f>'Q1 Room Type &amp; Supply'!$M$5:$M$10</c:f>
              <c:numCache>
                <c:formatCode>General</c:formatCode>
                <c:ptCount val="5"/>
                <c:pt idx="0">
                  <c:v>2</c:v>
                </c:pt>
                <c:pt idx="1">
                  <c:v>101</c:v>
                </c:pt>
                <c:pt idx="2">
                  <c:v>68</c:v>
                </c:pt>
                <c:pt idx="3">
                  <c:v>44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E-4C86-AE64-51C84F8E5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03952"/>
        <c:axId val="439105264"/>
      </c:barChart>
      <c:catAx>
        <c:axId val="43910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5264"/>
        <c:crosses val="autoZero"/>
        <c:auto val="1"/>
        <c:lblAlgn val="ctr"/>
        <c:lblOffset val="100"/>
        <c:noMultiLvlLbl val="0"/>
      </c:catAx>
      <c:valAx>
        <c:axId val="4391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 Concentration</a:t>
            </a:r>
          </a:p>
        </c:rich>
      </c:tx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'Q2 Host Concentration'!$A$3</c:f>
              <c:strCache>
                <c:ptCount val="1"/>
                <c:pt idx="0">
                  <c:v>Multi-property host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('Q2 Host Concentration'!$D$2,'Q2 Host Concentration'!$E$2)</c:f>
              <c:strCache>
                <c:ptCount val="2"/>
                <c:pt idx="0">
                  <c:v>pct_of_hosts</c:v>
                </c:pt>
                <c:pt idx="1">
                  <c:v>pct_of_listings</c:v>
                </c:pt>
              </c:strCache>
            </c:strRef>
          </c:cat>
          <c:val>
            <c:numRef>
              <c:f>('Q2 Host Concentration'!$D$3,'Q2 Host Concentration'!$E$3)</c:f>
              <c:numCache>
                <c:formatCode>0.00</c:formatCode>
                <c:ptCount val="2"/>
                <c:pt idx="0">
                  <c:v>19.420000000000002</c:v>
                </c:pt>
                <c:pt idx="1">
                  <c:v>56.13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7-4205-B8C0-674B548EA6CF}"/>
            </c:ext>
          </c:extLst>
        </c:ser>
        <c:ser>
          <c:idx val="1"/>
          <c:order val="1"/>
          <c:tx>
            <c:strRef>
              <c:f>'Q2 Host Concentration'!$A$4</c:f>
              <c:strCache>
                <c:ptCount val="1"/>
                <c:pt idx="0">
                  <c:v>Single-property host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('Q2 Host Concentration'!$D$2,'Q2 Host Concentration'!$E$2)</c:f>
              <c:strCache>
                <c:ptCount val="2"/>
                <c:pt idx="0">
                  <c:v>pct_of_hosts</c:v>
                </c:pt>
                <c:pt idx="1">
                  <c:v>pct_of_listings</c:v>
                </c:pt>
              </c:strCache>
            </c:strRef>
          </c:cat>
          <c:val>
            <c:numRef>
              <c:f>('Q2 Host Concentration'!$D$4,'Q2 Host Concentration'!$E$4)</c:f>
              <c:numCache>
                <c:formatCode>0.00</c:formatCode>
                <c:ptCount val="2"/>
                <c:pt idx="0">
                  <c:v>80.58</c:v>
                </c:pt>
                <c:pt idx="1">
                  <c:v>43.87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7-4205-B8C0-674B548EA6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7197264"/>
        <c:axId val="447191360"/>
        <c:axId val="0"/>
      </c:bar3DChart>
      <c:catAx>
        <c:axId val="4471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91360"/>
        <c:crosses val="autoZero"/>
        <c:auto val="1"/>
        <c:lblAlgn val="ctr"/>
        <c:lblOffset val="100"/>
        <c:noMultiLvlLbl val="0"/>
      </c:catAx>
      <c:valAx>
        <c:axId val="44719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[Inside_Airbnb_NYC_Phase3_Analysis.xlsx]Q4 Superhost Pricing!PivotTable5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Superhost Pricing'!$B$14:$B$15</c:f>
              <c:strCache>
                <c:ptCount val="1"/>
                <c:pt idx="0">
                  <c:v>non-superhost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 Superhost Pricing'!$A$16:$A$20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'Q4 Superhost Pricing'!$B$16:$B$20</c:f>
              <c:numCache>
                <c:formatCode>General</c:formatCode>
                <c:ptCount val="4"/>
                <c:pt idx="0">
                  <c:v>261.02</c:v>
                </c:pt>
                <c:pt idx="1">
                  <c:v>385.53</c:v>
                </c:pt>
                <c:pt idx="2">
                  <c:v>143.91</c:v>
                </c:pt>
                <c:pt idx="3">
                  <c:v>110.16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5-47B4-B82F-F85393FBA451}"/>
            </c:ext>
          </c:extLst>
        </c:ser>
        <c:ser>
          <c:idx val="1"/>
          <c:order val="1"/>
          <c:tx>
            <c:strRef>
              <c:f>'Q4 Superhost Pricing'!$C$14:$C$15</c:f>
              <c:strCache>
                <c:ptCount val="1"/>
                <c:pt idx="0">
                  <c:v>superhost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 Superhost Pricing'!$A$16:$A$20</c:f>
              <c:strCache>
                <c:ptCount val="4"/>
                <c:pt idx="0">
                  <c:v>Entire home/apt</c:v>
                </c:pt>
                <c:pt idx="1">
                  <c:v>Hotel room</c:v>
                </c:pt>
                <c:pt idx="2">
                  <c:v>Private room</c:v>
                </c:pt>
                <c:pt idx="3">
                  <c:v>Shared room</c:v>
                </c:pt>
              </c:strCache>
            </c:strRef>
          </c:cat>
          <c:val>
            <c:numRef>
              <c:f>'Q4 Superhost Pricing'!$C$16:$C$20</c:f>
              <c:numCache>
                <c:formatCode>General</c:formatCode>
                <c:ptCount val="4"/>
                <c:pt idx="0">
                  <c:v>258.98</c:v>
                </c:pt>
                <c:pt idx="1">
                  <c:v>324.62</c:v>
                </c:pt>
                <c:pt idx="2">
                  <c:v>159.81</c:v>
                </c:pt>
                <c:pt idx="3">
                  <c:v>158.77000000000001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5-47B4-B82F-F85393FBA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684480"/>
        <c:axId val="443284040"/>
      </c:barChart>
      <c:catAx>
        <c:axId val="43868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84040"/>
        <c:crosses val="autoZero"/>
        <c:auto val="1"/>
        <c:lblAlgn val="ctr"/>
        <c:lblOffset val="100"/>
        <c:noMultiLvlLbl val="0"/>
      </c:catAx>
      <c:valAx>
        <c:axId val="44328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68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[Inside_Airbnb_NYC_Phase3_Analysis.xlsx]Q5 Seasonal Availability!PivotTable6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'Q5 Seasonal Availability'!$J$3:$J$4</c:f>
              <c:strCache>
                <c:ptCount val="1"/>
                <c:pt idx="0">
                  <c:v>Entire home/apt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'Q5 Seasonal Availability'!$I$5:$I$17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'Q5 Seasonal Availability'!$J$5:$J$17</c:f>
              <c:numCache>
                <c:formatCode>General</c:formatCode>
                <c:ptCount val="12"/>
                <c:pt idx="0">
                  <c:v>77.42</c:v>
                </c:pt>
                <c:pt idx="1">
                  <c:v>77.900000000000006</c:v>
                </c:pt>
                <c:pt idx="2">
                  <c:v>71.099999999999994</c:v>
                </c:pt>
                <c:pt idx="3">
                  <c:v>67.23</c:v>
                </c:pt>
                <c:pt idx="4">
                  <c:v>65.14</c:v>
                </c:pt>
                <c:pt idx="5">
                  <c:v>47.11</c:v>
                </c:pt>
                <c:pt idx="6">
                  <c:v>46.9</c:v>
                </c:pt>
                <c:pt idx="7">
                  <c:v>68.31</c:v>
                </c:pt>
                <c:pt idx="8">
                  <c:v>70.42</c:v>
                </c:pt>
                <c:pt idx="9">
                  <c:v>72.38</c:v>
                </c:pt>
                <c:pt idx="10">
                  <c:v>78</c:v>
                </c:pt>
                <c:pt idx="11">
                  <c:v>74.89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A0E-B0E8-11BA503A9F82}"/>
            </c:ext>
          </c:extLst>
        </c:ser>
        <c:ser>
          <c:idx val="1"/>
          <c:order val="1"/>
          <c:tx>
            <c:strRef>
              <c:f>'Q5 Seasonal Availability'!$K$3:$K$4</c:f>
              <c:strCache>
                <c:ptCount val="1"/>
                <c:pt idx="0">
                  <c:v>Hotel room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'Q5 Seasonal Availability'!$I$5:$I$17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'Q5 Seasonal Availability'!$K$5:$K$17</c:f>
              <c:numCache>
                <c:formatCode>General</c:formatCode>
                <c:ptCount val="12"/>
                <c:pt idx="0">
                  <c:v>85.29</c:v>
                </c:pt>
                <c:pt idx="1">
                  <c:v>85.79</c:v>
                </c:pt>
                <c:pt idx="2">
                  <c:v>84.1</c:v>
                </c:pt>
                <c:pt idx="3">
                  <c:v>73.34</c:v>
                </c:pt>
                <c:pt idx="4">
                  <c:v>69.27</c:v>
                </c:pt>
                <c:pt idx="5">
                  <c:v>59.1</c:v>
                </c:pt>
                <c:pt idx="6">
                  <c:v>74.08</c:v>
                </c:pt>
                <c:pt idx="7">
                  <c:v>84.29</c:v>
                </c:pt>
                <c:pt idx="8">
                  <c:v>80.89</c:v>
                </c:pt>
                <c:pt idx="9">
                  <c:v>84.42</c:v>
                </c:pt>
                <c:pt idx="10">
                  <c:v>90.05</c:v>
                </c:pt>
                <c:pt idx="11">
                  <c:v>86.94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E-4A0E-B0E8-11BA503A9F82}"/>
            </c:ext>
          </c:extLst>
        </c:ser>
        <c:ser>
          <c:idx val="2"/>
          <c:order val="2"/>
          <c:tx>
            <c:strRef>
              <c:f>'Q5 Seasonal Availability'!$L$3:$L$4</c:f>
              <c:strCache>
                <c:ptCount val="1"/>
                <c:pt idx="0">
                  <c:v>Private room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'Q5 Seasonal Availability'!$I$5:$I$17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'Q5 Seasonal Availability'!$L$5:$L$17</c:f>
              <c:numCache>
                <c:formatCode>General</c:formatCode>
                <c:ptCount val="12"/>
                <c:pt idx="0">
                  <c:v>70.56</c:v>
                </c:pt>
                <c:pt idx="1">
                  <c:v>71.099999999999994</c:v>
                </c:pt>
                <c:pt idx="2">
                  <c:v>63</c:v>
                </c:pt>
                <c:pt idx="3">
                  <c:v>57.51</c:v>
                </c:pt>
                <c:pt idx="4">
                  <c:v>56.92</c:v>
                </c:pt>
                <c:pt idx="5">
                  <c:v>47.83</c:v>
                </c:pt>
                <c:pt idx="6">
                  <c:v>58.92</c:v>
                </c:pt>
                <c:pt idx="7">
                  <c:v>72.36</c:v>
                </c:pt>
                <c:pt idx="8">
                  <c:v>72.64</c:v>
                </c:pt>
                <c:pt idx="9">
                  <c:v>73.72</c:v>
                </c:pt>
                <c:pt idx="10">
                  <c:v>76.36</c:v>
                </c:pt>
                <c:pt idx="11">
                  <c:v>69.209999999999994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A0E-B0E8-11BA503A9F82}"/>
            </c:ext>
          </c:extLst>
        </c:ser>
        <c:ser>
          <c:idx val="3"/>
          <c:order val="3"/>
          <c:tx>
            <c:strRef>
              <c:f>'Q5 Seasonal Availability'!$M$3:$M$4</c:f>
              <c:strCache>
                <c:ptCount val="1"/>
                <c:pt idx="0">
                  <c:v>Shared room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'Q5 Seasonal Availability'!$I$5:$I$17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'Q5 Seasonal Availability'!$M$5:$M$17</c:f>
              <c:numCache>
                <c:formatCode>General</c:formatCode>
                <c:ptCount val="12"/>
                <c:pt idx="0">
                  <c:v>78.930000000000007</c:v>
                </c:pt>
                <c:pt idx="1">
                  <c:v>79.17</c:v>
                </c:pt>
                <c:pt idx="2">
                  <c:v>76.5</c:v>
                </c:pt>
                <c:pt idx="3">
                  <c:v>75</c:v>
                </c:pt>
                <c:pt idx="4">
                  <c:v>75</c:v>
                </c:pt>
                <c:pt idx="5">
                  <c:v>56.15</c:v>
                </c:pt>
                <c:pt idx="6">
                  <c:v>58.3</c:v>
                </c:pt>
                <c:pt idx="7">
                  <c:v>79.819999999999993</c:v>
                </c:pt>
                <c:pt idx="8">
                  <c:v>80.17</c:v>
                </c:pt>
                <c:pt idx="9">
                  <c:v>78.900000000000006</c:v>
                </c:pt>
                <c:pt idx="10">
                  <c:v>81.91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6E-4A0E-B0E8-11BA503A9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724520"/>
        <c:axId val="439723208"/>
      </c:lineChart>
      <c:catAx>
        <c:axId val="4397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3208"/>
        <c:crosses val="autoZero"/>
        <c:auto val="1"/>
        <c:lblAlgn val="ctr"/>
        <c:lblOffset val="100"/>
        <c:noMultiLvlLbl val="0"/>
      </c:catAx>
      <c:valAx>
        <c:axId val="439723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89074</xdr:colOff>
      <xdr:row>10</xdr:row>
      <xdr:rowOff>147969</xdr:rowOff>
    </xdr:from>
    <xdr:to>
      <xdr:col>13</xdr:col>
      <xdr:colOff>558242</xdr:colOff>
      <xdr:row>27</xdr:row>
      <xdr:rowOff>69780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297822</xdr:colOff>
      <xdr:row>7</xdr:row>
      <xdr:rowOff>107235</xdr:rowOff>
    </xdr:from>
    <xdr:to>
      <xdr:col>4</xdr:col>
      <xdr:colOff>166095</xdr:colOff>
      <xdr:row>22</xdr:row>
      <xdr:rowOff>88185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12</xdr:row>
      <xdr:rowOff>146056</xdr:rowOff>
    </xdr:from>
    <xdr:to>
      <xdr:col>11</xdr:col>
      <xdr:colOff>168275</xdr:colOff>
      <xdr:row>27</xdr:row>
      <xdr:rowOff>127006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557414</xdr:colOff>
      <xdr:row>18</xdr:row>
      <xdr:rowOff>105311</xdr:rowOff>
    </xdr:from>
    <xdr:to>
      <xdr:col>12</xdr:col>
      <xdr:colOff>656510</xdr:colOff>
      <xdr:row>33</xdr:row>
      <xdr:rowOff>82594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89.011776504631" createdVersion="6" refreshedVersion="6" minRefreshableVersion="3" recordCount="18">
  <cacheSource type="worksheet">
    <worksheetSource ref="A2:G20" sheet="Q1 Room Type &amp; Supply"/>
  </cacheSource>
  <cacheFields count="7">
    <cacheField name="borough" numFmtId="0">
      <sharedItems count="5">
        <s v="Bronx"/>
        <s v="Brooklyn"/>
        <s v="Manhattan"/>
        <s v="Queens"/>
        <s v="Staten Island"/>
      </sharedItems>
    </cacheField>
    <cacheField name="room_type" numFmtId="0">
      <sharedItems count="4">
        <s v="Private room"/>
        <s v="Entire home/apt"/>
        <s v="Shared room"/>
        <s v="Hotel room"/>
      </sharedItems>
    </cacheField>
    <cacheField name="listing_count" numFmtId="0">
      <sharedItems containsSemiMixedTypes="0" containsString="0" containsNumber="1" containsInteger="1" minValue="2" maxValue="9035"/>
    </cacheField>
    <cacheField name="pct_of_borough_inventory" numFmtId="2">
      <sharedItems containsSemiMixedTypes="0" containsString="0" containsNumber="1" minValue="0.2" maxValue="65.91"/>
    </cacheField>
    <cacheField name="pct_of_total_inventory" numFmtId="2">
      <sharedItems containsSemiMixedTypes="0" containsString="0" containsNumber="1" minValue="0.01" maxValue="29.86"/>
    </cacheField>
    <cacheField name="total_capacity" numFmtId="0">
      <sharedItems containsSemiMixedTypes="0" containsString="0" containsNumber="1" containsInteger="1" minValue="3" maxValue="29622"/>
    </cacheField>
    <cacheField name="avg_capacity" numFmtId="2">
      <sharedItems containsSemiMixedTypes="0" containsString="0" containsNumber="1" minValue="1.5" maxValue="5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289.025225231482" createdVersion="6" refreshedVersion="6" minRefreshableVersion="3" recordCount="500">
  <cacheSource type="worksheet">
    <worksheetSource ref="A2:H502" sheet="Q3 Neighbourhood Prices"/>
  </cacheSource>
  <cacheFields count="8">
    <cacheField name="borough" numFmtId="0">
      <sharedItems count="5">
        <s v="Bronx"/>
        <s v="Brooklyn"/>
        <s v="Manhattan"/>
        <s v="Queens"/>
        <s v="Staten Island"/>
      </sharedItems>
    </cacheField>
    <cacheField name="neighbourhood" numFmtId="0">
      <sharedItems/>
    </cacheField>
    <cacheField name="room_type" numFmtId="0">
      <sharedItems count="4">
        <s v="Entire home/apt"/>
        <s v="Hotel room"/>
        <s v="Private room"/>
        <s v="Shared room"/>
      </sharedItems>
    </cacheField>
    <cacheField name="priced_listing_count" numFmtId="0">
      <sharedItems containsSemiMixedTypes="0" containsString="0" containsNumber="1" containsInteger="1" minValue="1" maxValue="863"/>
    </cacheField>
    <cacheField name="avg_price" numFmtId="2">
      <sharedItems containsSemiMixedTypes="0" containsString="0" containsNumber="1" minValue="1" maxValue="742"/>
    </cacheField>
    <cacheField name="min_price" numFmtId="2">
      <sharedItems containsSemiMixedTypes="0" containsString="0" containsNumber="1" minValue="1" maxValue="742"/>
    </cacheField>
    <cacheField name="max_price" numFmtId="2">
      <sharedItems containsSemiMixedTypes="0" containsString="0" containsNumber="1" minValue="1" maxValue="999.69"/>
    </cacheField>
    <cacheField name="weighted_price" numFmtId="0">
      <sharedItems containsSemiMixedTypes="0" containsString="0" containsNumber="1" minValue="1" maxValue="313605.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sus" refreshedDate="46289.032579513892" createdVersion="6" refreshedVersion="6" minRefreshableVersion="3" recordCount="8">
  <cacheSource type="worksheet">
    <worksheetSource ref="A2:F10" sheet="Q4 Superhost Pricing"/>
  </cacheSource>
  <cacheFields count="6">
    <cacheField name="room_type" numFmtId="0">
      <sharedItems count="4">
        <s v="Entire home/apt"/>
        <s v="Hotel room"/>
        <s v="Private room"/>
        <s v="Shared room"/>
      </sharedItems>
    </cacheField>
    <cacheField name="host_status" numFmtId="0">
      <sharedItems count="2">
        <s v="non-superhost"/>
        <s v="superhost"/>
      </sharedItems>
    </cacheField>
    <cacheField name="priced_listing_count" numFmtId="0">
      <sharedItems containsSemiMixedTypes="0" containsString="0" containsNumber="1" containsInteger="1" minValue="2" maxValue="7973"/>
    </cacheField>
    <cacheField name="avg_price" numFmtId="2">
      <sharedItems containsSemiMixedTypes="0" containsString="0" containsNumber="1" minValue="110.16" maxValue="385.53"/>
    </cacheField>
    <cacheField name="min_price" numFmtId="2">
      <sharedItems containsSemiMixedTypes="0" containsString="0" containsNumber="1" containsInteger="1" minValue="1" maxValue="250"/>
    </cacheField>
    <cacheField name="max_price" numFmtId="2">
      <sharedItems containsSemiMixedTypes="0" containsString="0" containsNumber="1" minValue="399.23" maxValue="999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sus" refreshedDate="46289.034362615741" createdVersion="6" refreshedVersion="6" minRefreshableVersion="3" recordCount="47">
  <cacheSource type="worksheet">
    <worksheetSource ref="A2:F49" sheet="Q5 Seasonal Availability"/>
  </cacheSource>
  <cacheFields count="6">
    <cacheField name="month_number" numFmtId="0">
      <sharedItems containsSemiMixedTypes="0" containsString="0" containsNumber="1" containsInteger="1" minValue="1" maxValue="12"/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room_type" numFmtId="0">
      <sharedItems count="4">
        <s v="Entire home/apt"/>
        <s v="Hotel room"/>
        <s v="Private room"/>
        <s v="Shared room"/>
      </sharedItems>
    </cacheField>
    <cacheField name="calendar_rows" numFmtId="0">
      <sharedItems containsSemiMixedTypes="0" containsString="0" containsNumber="1" containsInteger="1" minValue="5376" maxValue="357647"/>
    </cacheField>
    <cacheField name="availability_pct" numFmtId="2">
      <sharedItems containsSemiMixedTypes="0" containsString="0" containsNumber="1" minValue="46.9" maxValue="90.05"/>
    </cacheField>
    <cacheField name="avg_listed_price" numFmtId="2">
      <sharedItems containsSemiMixedTypes="0" containsString="0" containsNumber="1" minValue="122.82" maxValue="385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589"/>
    <n v="60.35"/>
    <n v="1.95"/>
    <n v="1081"/>
    <n v="1.84"/>
  </r>
  <r>
    <x v="0"/>
    <x v="1"/>
    <n v="385"/>
    <n v="39.450000000000003"/>
    <n v="1.27"/>
    <n v="1502"/>
    <n v="3.9"/>
  </r>
  <r>
    <x v="0"/>
    <x v="2"/>
    <n v="2"/>
    <n v="0.2"/>
    <n v="0.01"/>
    <n v="3"/>
    <n v="1.5"/>
  </r>
  <r>
    <x v="1"/>
    <x v="1"/>
    <n v="5529"/>
    <n v="52.35"/>
    <n v="18.27"/>
    <n v="20685"/>
    <n v="3.74"/>
  </r>
  <r>
    <x v="1"/>
    <x v="0"/>
    <n v="4889"/>
    <n v="46.29"/>
    <n v="16.16"/>
    <n v="8980"/>
    <n v="1.84"/>
  </r>
  <r>
    <x v="1"/>
    <x v="2"/>
    <n v="101"/>
    <n v="0.96"/>
    <n v="0.33"/>
    <n v="167"/>
    <n v="1.65"/>
  </r>
  <r>
    <x v="1"/>
    <x v="3"/>
    <n v="43"/>
    <n v="0.41"/>
    <n v="0.14000000000000001"/>
    <n v="156"/>
    <n v="3.63"/>
  </r>
  <r>
    <x v="2"/>
    <x v="1"/>
    <n v="9035"/>
    <n v="65.91"/>
    <n v="29.86"/>
    <n v="29622"/>
    <n v="3.28"/>
  </r>
  <r>
    <x v="2"/>
    <x v="0"/>
    <n v="4222"/>
    <n v="30.8"/>
    <n v="13.95"/>
    <n v="9058"/>
    <n v="2.15"/>
  </r>
  <r>
    <x v="2"/>
    <x v="3"/>
    <n v="384"/>
    <n v="2.8"/>
    <n v="1.27"/>
    <n v="1556"/>
    <n v="4.05"/>
  </r>
  <r>
    <x v="2"/>
    <x v="2"/>
    <n v="68"/>
    <n v="0.5"/>
    <n v="0.22"/>
    <n v="133"/>
    <n v="1.96"/>
  </r>
  <r>
    <x v="3"/>
    <x v="0"/>
    <n v="2832"/>
    <n v="60.51"/>
    <n v="9.36"/>
    <n v="5266"/>
    <n v="1.86"/>
  </r>
  <r>
    <x v="3"/>
    <x v="1"/>
    <n v="1711"/>
    <n v="36.56"/>
    <n v="5.65"/>
    <n v="6918"/>
    <n v="4.04"/>
  </r>
  <r>
    <x v="3"/>
    <x v="3"/>
    <n v="93"/>
    <n v="1.99"/>
    <n v="0.31"/>
    <n v="499"/>
    <n v="5.37"/>
  </r>
  <r>
    <x v="3"/>
    <x v="2"/>
    <n v="44"/>
    <n v="0.94"/>
    <n v="0.15"/>
    <n v="81"/>
    <n v="1.84"/>
  </r>
  <r>
    <x v="4"/>
    <x v="0"/>
    <n v="181"/>
    <n v="54.52"/>
    <n v="0.6"/>
    <n v="341"/>
    <n v="1.88"/>
  </r>
  <r>
    <x v="4"/>
    <x v="1"/>
    <n v="148"/>
    <n v="44.58"/>
    <n v="0.49"/>
    <n v="570"/>
    <n v="3.85"/>
  </r>
  <r>
    <x v="4"/>
    <x v="2"/>
    <n v="3"/>
    <n v="0.9"/>
    <n v="0.01"/>
    <n v="7"/>
    <n v="2.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x v="0"/>
    <s v="West Farms"/>
    <x v="0"/>
    <n v="4"/>
    <n v="337.81"/>
    <n v="186.54"/>
    <n v="498.2"/>
    <n v="1351.24"/>
  </r>
  <r>
    <x v="0"/>
    <s v="Claremont Village"/>
    <x v="0"/>
    <n v="9"/>
    <n v="260.94"/>
    <n v="75.23"/>
    <n v="458.07"/>
    <n v="2348.46"/>
  </r>
  <r>
    <x v="0"/>
    <s v="Wakefield"/>
    <x v="0"/>
    <n v="17"/>
    <n v="243.93"/>
    <n v="74.3"/>
    <n v="995.57"/>
    <n v="4146.8100000000004"/>
  </r>
  <r>
    <x v="0"/>
    <s v="Morris Heights"/>
    <x v="0"/>
    <n v="6"/>
    <n v="243.54"/>
    <n v="85.73"/>
    <n v="536"/>
    <n v="1461.24"/>
  </r>
  <r>
    <x v="0"/>
    <s v="Spuyten Duyvil"/>
    <x v="0"/>
    <n v="2"/>
    <n v="239.38"/>
    <n v="195.98"/>
    <n v="282.77999999999997"/>
    <n v="478.76"/>
  </r>
  <r>
    <x v="0"/>
    <s v="Van Nest"/>
    <x v="0"/>
    <n v="8"/>
    <n v="220.42"/>
    <n v="77.53"/>
    <n v="553.1"/>
    <n v="1763.36"/>
  </r>
  <r>
    <x v="0"/>
    <s v="Soundview"/>
    <x v="0"/>
    <n v="3"/>
    <n v="217.25"/>
    <n v="90.6"/>
    <n v="285.66000000000003"/>
    <n v="651.75"/>
  </r>
  <r>
    <x v="0"/>
    <s v="Longwood"/>
    <x v="0"/>
    <n v="5"/>
    <n v="215.99"/>
    <n v="116.99"/>
    <n v="460.93"/>
    <n v="1079.95"/>
  </r>
  <r>
    <x v="0"/>
    <s v="Mott Haven"/>
    <x v="0"/>
    <n v="18"/>
    <n v="214.37"/>
    <n v="81.13"/>
    <n v="423.07"/>
    <n v="3858.66"/>
  </r>
  <r>
    <x v="0"/>
    <s v="Hunts Point"/>
    <x v="0"/>
    <n v="1"/>
    <n v="202.06"/>
    <n v="202.06"/>
    <n v="202.06"/>
    <n v="202.06"/>
  </r>
  <r>
    <x v="0"/>
    <s v="City Island"/>
    <x v="0"/>
    <n v="11"/>
    <n v="200.53"/>
    <n v="102.06"/>
    <n v="744.67"/>
    <n v="2205.83"/>
  </r>
  <r>
    <x v="0"/>
    <s v="East Morrisania"/>
    <x v="0"/>
    <n v="2"/>
    <n v="200.45"/>
    <n v="127.01"/>
    <n v="273.88"/>
    <n v="400.9"/>
  </r>
  <r>
    <x v="0"/>
    <s v="Concourse Village"/>
    <x v="0"/>
    <n v="6"/>
    <n v="185.42"/>
    <n v="94.55"/>
    <n v="271.73"/>
    <n v="1112.52"/>
  </r>
  <r>
    <x v="0"/>
    <s v="Unionport"/>
    <x v="0"/>
    <n v="8"/>
    <n v="181.97"/>
    <n v="113.39"/>
    <n v="309.73"/>
    <n v="1455.76"/>
  </r>
  <r>
    <x v="0"/>
    <s v="Olinville"/>
    <x v="0"/>
    <n v="1"/>
    <n v="180.82"/>
    <n v="180.82"/>
    <n v="180.82"/>
    <n v="180.82"/>
  </r>
  <r>
    <x v="0"/>
    <s v="Mount Hope"/>
    <x v="0"/>
    <n v="4"/>
    <n v="180.15"/>
    <n v="85.24"/>
    <n v="247.07"/>
    <n v="720.6"/>
  </r>
  <r>
    <x v="0"/>
    <s v="Port Morris"/>
    <x v="0"/>
    <n v="20"/>
    <n v="179.54"/>
    <n v="113.97"/>
    <n v="365.04"/>
    <n v="3590.7999999999997"/>
  </r>
  <r>
    <x v="0"/>
    <s v="Throgs Neck"/>
    <x v="0"/>
    <n v="18"/>
    <n v="179.14"/>
    <n v="86.82"/>
    <n v="354.33"/>
    <n v="3224.5199999999995"/>
  </r>
  <r>
    <x v="0"/>
    <s v="Parkchester"/>
    <x v="0"/>
    <n v="9"/>
    <n v="175.24"/>
    <n v="65.27"/>
    <n v="379.14"/>
    <n v="1577.16"/>
  </r>
  <r>
    <x v="0"/>
    <s v="University Heights"/>
    <x v="0"/>
    <n v="4"/>
    <n v="172.65"/>
    <n v="104.08"/>
    <n v="307.87"/>
    <n v="690.6"/>
  </r>
  <r>
    <x v="0"/>
    <s v="Pelham Gardens"/>
    <x v="0"/>
    <n v="9"/>
    <n v="172.57"/>
    <n v="96.61"/>
    <n v="364"/>
    <n v="1553.1299999999999"/>
  </r>
  <r>
    <x v="0"/>
    <s v="Fieldston"/>
    <x v="0"/>
    <n v="3"/>
    <n v="170.54"/>
    <n v="115.04"/>
    <n v="251.06"/>
    <n v="511.62"/>
  </r>
  <r>
    <x v="0"/>
    <s v="Allerton"/>
    <x v="0"/>
    <n v="19"/>
    <n v="169.66"/>
    <n v="70.430000000000007"/>
    <n v="573.92999999999995"/>
    <n v="3223.54"/>
  </r>
  <r>
    <x v="0"/>
    <s v="Kingsbridge"/>
    <x v="0"/>
    <n v="13"/>
    <n v="168.52"/>
    <n v="77.12"/>
    <n v="861.9"/>
    <n v="2190.7600000000002"/>
  </r>
  <r>
    <x v="0"/>
    <s v="Fordham"/>
    <x v="0"/>
    <n v="6"/>
    <n v="161.85"/>
    <n v="100.15"/>
    <n v="226.62"/>
    <n v="971.09999999999991"/>
  </r>
  <r>
    <x v="0"/>
    <s v="Castle Hill"/>
    <x v="0"/>
    <n v="4"/>
    <n v="160.04"/>
    <n v="115.83"/>
    <n v="194"/>
    <n v="640.16"/>
  </r>
  <r>
    <x v="0"/>
    <s v="Bronxdale"/>
    <x v="0"/>
    <n v="2"/>
    <n v="155.44999999999999"/>
    <n v="134.62"/>
    <n v="176.27"/>
    <n v="310.89999999999998"/>
  </r>
  <r>
    <x v="0"/>
    <s v="Woodlawn"/>
    <x v="0"/>
    <n v="8"/>
    <n v="155.08000000000001"/>
    <n v="84.1"/>
    <n v="336.65"/>
    <n v="1240.6400000000001"/>
  </r>
  <r>
    <x v="0"/>
    <s v="Clason Point"/>
    <x v="0"/>
    <n v="7"/>
    <n v="155.06"/>
    <n v="82.74"/>
    <n v="402.3"/>
    <n v="1085.42"/>
  </r>
  <r>
    <x v="0"/>
    <s v="Morris Park"/>
    <x v="0"/>
    <n v="9"/>
    <n v="145.6"/>
    <n v="59.3"/>
    <n v="377.21"/>
    <n v="1310.3999999999999"/>
  </r>
  <r>
    <x v="0"/>
    <s v="Eastchester"/>
    <x v="0"/>
    <n v="3"/>
    <n v="144.59"/>
    <n v="88.5"/>
    <n v="221.24"/>
    <n v="433.77"/>
  </r>
  <r>
    <x v="0"/>
    <s v="Norwood"/>
    <x v="0"/>
    <n v="9"/>
    <n v="143.71"/>
    <n v="93.01"/>
    <n v="244.47"/>
    <n v="1293.3900000000001"/>
  </r>
  <r>
    <x v="0"/>
    <s v="Concourse"/>
    <x v="0"/>
    <n v="7"/>
    <n v="141.74"/>
    <n v="109.76"/>
    <n v="221.27"/>
    <n v="992.18000000000006"/>
  </r>
  <r>
    <x v="0"/>
    <s v="Belmont"/>
    <x v="0"/>
    <n v="4"/>
    <n v="140.62"/>
    <n v="121.7"/>
    <n v="169.91"/>
    <n v="562.48"/>
  </r>
  <r>
    <x v="0"/>
    <s v="Riverdale"/>
    <x v="0"/>
    <n v="3"/>
    <n v="137.63"/>
    <n v="1"/>
    <n v="286"/>
    <n v="412.89"/>
  </r>
  <r>
    <x v="0"/>
    <s v="Schuylerville"/>
    <x v="0"/>
    <n v="5"/>
    <n v="130.71"/>
    <n v="79.900000000000006"/>
    <n v="282.08"/>
    <n v="653.55000000000007"/>
  </r>
  <r>
    <x v="0"/>
    <s v="Melrose"/>
    <x v="0"/>
    <n v="6"/>
    <n v="126.32"/>
    <n v="82.92"/>
    <n v="265.48"/>
    <n v="757.92"/>
  </r>
  <r>
    <x v="0"/>
    <s v="Baychester"/>
    <x v="0"/>
    <n v="7"/>
    <n v="124.83"/>
    <n v="66.069999999999993"/>
    <n v="171.64"/>
    <n v="873.81"/>
  </r>
  <r>
    <x v="0"/>
    <s v="Westchester Square"/>
    <x v="0"/>
    <n v="2"/>
    <n v="124.44"/>
    <n v="96.48"/>
    <n v="152.38999999999999"/>
    <n v="248.88"/>
  </r>
  <r>
    <x v="0"/>
    <s v="Highbridge"/>
    <x v="0"/>
    <n v="3"/>
    <n v="119.07"/>
    <n v="59.17"/>
    <n v="166.33"/>
    <n v="357.21"/>
  </r>
  <r>
    <x v="0"/>
    <s v="Mount Eden"/>
    <x v="0"/>
    <n v="1"/>
    <n v="118.93"/>
    <n v="118.93"/>
    <n v="118.93"/>
    <n v="118.93"/>
  </r>
  <r>
    <x v="0"/>
    <s v="Tremont"/>
    <x v="0"/>
    <n v="2"/>
    <n v="117.84"/>
    <n v="104.77"/>
    <n v="130.9"/>
    <n v="235.68"/>
  </r>
  <r>
    <x v="0"/>
    <s v="Pelham Bay"/>
    <x v="0"/>
    <n v="2"/>
    <n v="116.71"/>
    <n v="74.41"/>
    <n v="159.01"/>
    <n v="233.42"/>
  </r>
  <r>
    <x v="0"/>
    <s v="Edenwald"/>
    <x v="0"/>
    <n v="7"/>
    <n v="113.8"/>
    <n v="42.4"/>
    <n v="286"/>
    <n v="796.6"/>
  </r>
  <r>
    <x v="0"/>
    <s v="Williamsbridge"/>
    <x v="0"/>
    <n v="15"/>
    <n v="111.8"/>
    <n v="61.03"/>
    <n v="165.37"/>
    <n v="1677"/>
  </r>
  <r>
    <x v="0"/>
    <s v="Morrisania"/>
    <x v="0"/>
    <n v="2"/>
    <n v="103.99"/>
    <n v="97.34"/>
    <n v="110.63"/>
    <n v="207.98"/>
  </r>
  <r>
    <x v="0"/>
    <s v="Co-op City"/>
    <x v="0"/>
    <n v="2"/>
    <n v="89.8"/>
    <n v="81.5"/>
    <n v="98.1"/>
    <n v="179.6"/>
  </r>
  <r>
    <x v="0"/>
    <s v="North Riverdale"/>
    <x v="0"/>
    <n v="4"/>
    <n v="80.7"/>
    <n v="1"/>
    <n v="122.23"/>
    <n v="322.8"/>
  </r>
  <r>
    <x v="0"/>
    <s v="Country Club"/>
    <x v="0"/>
    <n v="2"/>
    <n v="60.35"/>
    <n v="3"/>
    <n v="117.7"/>
    <n v="120.7"/>
  </r>
  <r>
    <x v="1"/>
    <s v="DUMBO"/>
    <x v="0"/>
    <n v="14"/>
    <n v="445.03"/>
    <n v="217.92"/>
    <n v="977"/>
    <n v="6230.42"/>
  </r>
  <r>
    <x v="1"/>
    <s v="Prospect Heights"/>
    <x v="0"/>
    <n v="47"/>
    <n v="337.53"/>
    <n v="1"/>
    <n v="846.37"/>
    <n v="15863.909999999998"/>
  </r>
  <r>
    <x v="1"/>
    <s v="Gerritsen Beach"/>
    <x v="0"/>
    <n v="2"/>
    <n v="336.47"/>
    <n v="335.87"/>
    <n v="337.06"/>
    <n v="672.94"/>
  </r>
  <r>
    <x v="1"/>
    <s v="Cobble Hill"/>
    <x v="0"/>
    <n v="17"/>
    <n v="332.25"/>
    <n v="103.73"/>
    <n v="754.85"/>
    <n v="5648.25"/>
  </r>
  <r>
    <x v="1"/>
    <s v="Greenpoint"/>
    <x v="0"/>
    <n v="191"/>
    <n v="328.43"/>
    <n v="1"/>
    <n v="925"/>
    <n v="62730.130000000005"/>
  </r>
  <r>
    <x v="1"/>
    <s v="Brooklyn Heights"/>
    <x v="0"/>
    <n v="24"/>
    <n v="299.70999999999998"/>
    <n v="9"/>
    <n v="710.57"/>
    <n v="7193.0399999999991"/>
  </r>
  <r>
    <x v="1"/>
    <s v="Boerum Hill"/>
    <x v="0"/>
    <n v="55"/>
    <n v="296.10000000000002"/>
    <n v="1"/>
    <n v="927.69"/>
    <n v="16285.500000000002"/>
  </r>
  <r>
    <x v="1"/>
    <s v="Vinegar Hill"/>
    <x v="0"/>
    <n v="11"/>
    <n v="295.33999999999997"/>
    <n v="1"/>
    <n v="755.89"/>
    <n v="3248.74"/>
  </r>
  <r>
    <x v="1"/>
    <s v="Park Slope"/>
    <x v="0"/>
    <n v="97"/>
    <n v="293.38"/>
    <n v="1"/>
    <n v="967.54"/>
    <n v="28457.86"/>
  </r>
  <r>
    <x v="1"/>
    <s v="Gowanus"/>
    <x v="0"/>
    <n v="53"/>
    <n v="287.85000000000002"/>
    <n v="1"/>
    <n v="880.15"/>
    <n v="15256.050000000001"/>
  </r>
  <r>
    <x v="1"/>
    <s v="Clinton Hill"/>
    <x v="0"/>
    <n v="99"/>
    <n v="285.75"/>
    <n v="1"/>
    <n v="884.97"/>
    <n v="28289.25"/>
  </r>
  <r>
    <x v="1"/>
    <s v="Williamsburg"/>
    <x v="0"/>
    <n v="441"/>
    <n v="277.17"/>
    <n v="1"/>
    <n v="986.34"/>
    <n v="122231.97"/>
  </r>
  <r>
    <x v="1"/>
    <s v="Columbia St"/>
    <x v="0"/>
    <n v="6"/>
    <n v="275.7"/>
    <n v="1"/>
    <n v="938.48"/>
    <n v="1654.1999999999998"/>
  </r>
  <r>
    <x v="1"/>
    <s v="Carroll Gardens"/>
    <x v="0"/>
    <n v="44"/>
    <n v="274.85000000000002"/>
    <n v="1"/>
    <n v="805.76"/>
    <n v="12093.400000000001"/>
  </r>
  <r>
    <x v="1"/>
    <s v="Red Hook"/>
    <x v="0"/>
    <n v="18"/>
    <n v="266.88"/>
    <n v="21.81"/>
    <n v="556.79999999999995"/>
    <n v="4803.84"/>
  </r>
  <r>
    <x v="1"/>
    <s v="Crown Heights"/>
    <x v="0"/>
    <n v="343"/>
    <n v="248.04"/>
    <n v="1"/>
    <n v="970"/>
    <n v="85077.72"/>
  </r>
  <r>
    <x v="1"/>
    <s v="Bergen Beach"/>
    <x v="0"/>
    <n v="7"/>
    <n v="245.71"/>
    <n v="65.819999999999993"/>
    <n v="565.99"/>
    <n v="1719.97"/>
  </r>
  <r>
    <x v="1"/>
    <s v="South Slope"/>
    <x v="0"/>
    <n v="67"/>
    <n v="244.71"/>
    <n v="4"/>
    <n v="771.23"/>
    <n v="16395.57"/>
  </r>
  <r>
    <x v="1"/>
    <s v="Sunset Park"/>
    <x v="0"/>
    <n v="58"/>
    <n v="240.6"/>
    <n v="1"/>
    <n v="805"/>
    <n v="13954.8"/>
  </r>
  <r>
    <x v="1"/>
    <s v="Downtown Brooklyn"/>
    <x v="0"/>
    <n v="24"/>
    <n v="238.27"/>
    <n v="1"/>
    <n v="610.63"/>
    <n v="5718.4800000000005"/>
  </r>
  <r>
    <x v="1"/>
    <s v="Fort Greene"/>
    <x v="0"/>
    <n v="79"/>
    <n v="235.17"/>
    <n v="1"/>
    <n v="668"/>
    <n v="18578.43"/>
  </r>
  <r>
    <x v="1"/>
    <s v="Bedford-Stuyvesant"/>
    <x v="0"/>
    <n v="621"/>
    <n v="233.13"/>
    <n v="1"/>
    <n v="940.27"/>
    <n v="144773.73000000001"/>
  </r>
  <r>
    <x v="1"/>
    <s v="Cypress Hills"/>
    <x v="0"/>
    <n v="50"/>
    <n v="228.68"/>
    <n v="1"/>
    <n v="818"/>
    <n v="11434"/>
  </r>
  <r>
    <x v="1"/>
    <s v="Fort Hamilton"/>
    <x v="0"/>
    <n v="73"/>
    <n v="225.58"/>
    <n v="69.03"/>
    <n v="805"/>
    <n v="16467.34"/>
  </r>
  <r>
    <x v="1"/>
    <s v="Sheepshead Bay"/>
    <x v="0"/>
    <n v="40"/>
    <n v="224.33"/>
    <n v="1"/>
    <n v="619.66"/>
    <n v="8973.2000000000007"/>
  </r>
  <r>
    <x v="1"/>
    <s v="Mill Basin"/>
    <x v="0"/>
    <n v="6"/>
    <n v="216.25"/>
    <n v="2"/>
    <n v="491.17"/>
    <n v="1297.5"/>
  </r>
  <r>
    <x v="1"/>
    <s v="Coney Island"/>
    <x v="0"/>
    <n v="3"/>
    <n v="215.94"/>
    <n v="119.61"/>
    <n v="265.67"/>
    <n v="647.81999999999994"/>
  </r>
  <r>
    <x v="1"/>
    <s v="Bushwick"/>
    <x v="0"/>
    <n v="237"/>
    <n v="214.94"/>
    <n v="1"/>
    <n v="939"/>
    <n v="50940.78"/>
  </r>
  <r>
    <x v="1"/>
    <s v="Kensington"/>
    <x v="0"/>
    <n v="22"/>
    <n v="212.48"/>
    <n v="1"/>
    <n v="710.17"/>
    <n v="4674.5599999999995"/>
  </r>
  <r>
    <x v="1"/>
    <s v="Windsor Terrace"/>
    <x v="0"/>
    <n v="32"/>
    <n v="210.02"/>
    <n v="91.87"/>
    <n v="775"/>
    <n v="6720.64"/>
  </r>
  <r>
    <x v="1"/>
    <s v="Flatlands"/>
    <x v="0"/>
    <n v="37"/>
    <n v="209.06"/>
    <n v="1"/>
    <n v="775"/>
    <n v="7735.22"/>
  </r>
  <r>
    <x v="1"/>
    <s v="Prospect-Lefferts Gardens"/>
    <x v="0"/>
    <n v="95"/>
    <n v="203.22"/>
    <n v="1"/>
    <n v="668.9"/>
    <n v="19305.900000000001"/>
  </r>
  <r>
    <x v="1"/>
    <s v="East New York"/>
    <x v="0"/>
    <n v="110"/>
    <n v="201.3"/>
    <n v="12.33"/>
    <n v="731.98"/>
    <n v="22143"/>
  </r>
  <r>
    <x v="1"/>
    <s v="Canarsie"/>
    <x v="0"/>
    <n v="86"/>
    <n v="199.46"/>
    <n v="26.17"/>
    <n v="827.5"/>
    <n v="17153.560000000001"/>
  </r>
  <r>
    <x v="1"/>
    <s v="Flatbush"/>
    <x v="0"/>
    <n v="104"/>
    <n v="195"/>
    <n v="1"/>
    <n v="840.7"/>
    <n v="20280"/>
  </r>
  <r>
    <x v="1"/>
    <s v="Gravesend"/>
    <x v="0"/>
    <n v="21"/>
    <n v="192.85"/>
    <n v="79.64"/>
    <n v="638.82000000000005"/>
    <n v="4049.85"/>
  </r>
  <r>
    <x v="1"/>
    <s v="East Flatbush"/>
    <x v="0"/>
    <n v="174"/>
    <n v="191.53"/>
    <n v="1"/>
    <n v="970"/>
    <n v="33326.22"/>
  </r>
  <r>
    <x v="1"/>
    <s v="Brighton Beach"/>
    <x v="0"/>
    <n v="22"/>
    <n v="186.57"/>
    <n v="83.04"/>
    <n v="320.8"/>
    <n v="4104.54"/>
  </r>
  <r>
    <x v="1"/>
    <s v="Borough Park"/>
    <x v="0"/>
    <n v="12"/>
    <n v="177.66"/>
    <n v="63.53"/>
    <n v="362.87"/>
    <n v="2131.92"/>
  </r>
  <r>
    <x v="1"/>
    <s v="Bath Beach"/>
    <x v="0"/>
    <n v="11"/>
    <n v="174.4"/>
    <n v="55.46"/>
    <n v="285.3"/>
    <n v="1918.4"/>
  </r>
  <r>
    <x v="1"/>
    <s v="Sea Gate"/>
    <x v="0"/>
    <n v="13"/>
    <n v="169.07"/>
    <n v="2"/>
    <n v="290.73"/>
    <n v="2197.91"/>
  </r>
  <r>
    <x v="1"/>
    <s v="Bensonhurst"/>
    <x v="0"/>
    <n v="22"/>
    <n v="166.82"/>
    <n v="80.38"/>
    <n v="391.6"/>
    <n v="3670.04"/>
  </r>
  <r>
    <x v="1"/>
    <s v="Brownsville"/>
    <x v="0"/>
    <n v="34"/>
    <n v="165.26"/>
    <n v="1"/>
    <n v="385.9"/>
    <n v="5618.84"/>
  </r>
  <r>
    <x v="1"/>
    <s v="Bay Ridge"/>
    <x v="0"/>
    <n v="31"/>
    <n v="160.65"/>
    <n v="37.82"/>
    <n v="444.68"/>
    <n v="4980.1500000000005"/>
  </r>
  <r>
    <x v="1"/>
    <s v="Manhattan Beach"/>
    <x v="0"/>
    <n v="2"/>
    <n v="160.22999999999999"/>
    <n v="134.22999999999999"/>
    <n v="186.23"/>
    <n v="320.45999999999998"/>
  </r>
  <r>
    <x v="1"/>
    <s v="Midwood"/>
    <x v="0"/>
    <n v="18"/>
    <n v="154.01"/>
    <n v="39.18"/>
    <n v="428"/>
    <n v="2772.18"/>
  </r>
  <r>
    <x v="1"/>
    <s v="Navy Yard"/>
    <x v="0"/>
    <n v="2"/>
    <n v="103.1"/>
    <n v="1"/>
    <n v="205.2"/>
    <n v="206.2"/>
  </r>
  <r>
    <x v="1"/>
    <s v="Dyker Heights"/>
    <x v="0"/>
    <n v="7"/>
    <n v="84.03"/>
    <n v="1"/>
    <n v="111.58"/>
    <n v="588.21"/>
  </r>
  <r>
    <x v="2"/>
    <s v="NoHo"/>
    <x v="0"/>
    <n v="13"/>
    <n v="454.76"/>
    <n v="1"/>
    <n v="856.08"/>
    <n v="5911.88"/>
  </r>
  <r>
    <x v="2"/>
    <s v="Civic Center"/>
    <x v="0"/>
    <n v="8"/>
    <n v="432.39"/>
    <n v="4"/>
    <n v="966.06"/>
    <n v="3459.12"/>
  </r>
  <r>
    <x v="2"/>
    <s v="Theater District"/>
    <x v="0"/>
    <n v="108"/>
    <n v="430.67"/>
    <n v="1"/>
    <n v="997.9"/>
    <n v="46512.36"/>
  </r>
  <r>
    <x v="2"/>
    <s v="Financial District"/>
    <x v="0"/>
    <n v="221"/>
    <n v="396.57"/>
    <n v="1"/>
    <n v="998"/>
    <n v="87641.97"/>
  </r>
  <r>
    <x v="2"/>
    <s v="SoHo"/>
    <x v="0"/>
    <n v="99"/>
    <n v="376.66"/>
    <n v="1"/>
    <n v="990.66"/>
    <n v="37289.340000000004"/>
  </r>
  <r>
    <x v="2"/>
    <s v="Midtown"/>
    <x v="0"/>
    <n v="863"/>
    <n v="363.39"/>
    <n v="1"/>
    <n v="997.14"/>
    <n v="313605.57"/>
  </r>
  <r>
    <x v="2"/>
    <s v="Greenwich Village"/>
    <x v="0"/>
    <n v="84"/>
    <n v="363.07"/>
    <n v="1"/>
    <n v="998.01"/>
    <n v="30497.88"/>
  </r>
  <r>
    <x v="2"/>
    <s v="West Village"/>
    <x v="0"/>
    <n v="167"/>
    <n v="329.93"/>
    <n v="1"/>
    <n v="950.6"/>
    <n v="55098.31"/>
  </r>
  <r>
    <x v="2"/>
    <s v="Tribeca"/>
    <x v="0"/>
    <n v="53"/>
    <n v="317.27"/>
    <n v="1"/>
    <n v="822.52"/>
    <n v="16815.309999999998"/>
  </r>
  <r>
    <x v="2"/>
    <s v="Stuyvesant Town"/>
    <x v="0"/>
    <n v="15"/>
    <n v="313.45999999999998"/>
    <n v="147.5"/>
    <n v="832.95"/>
    <n v="4701.8999999999996"/>
  </r>
  <r>
    <x v="2"/>
    <s v="Lower East Side"/>
    <x v="0"/>
    <n v="236"/>
    <n v="304.27999999999997"/>
    <n v="1"/>
    <n v="973.2"/>
    <n v="71810.079999999987"/>
  </r>
  <r>
    <x v="2"/>
    <s v="Murray Hill"/>
    <x v="0"/>
    <n v="249"/>
    <n v="298.95"/>
    <n v="1"/>
    <n v="969"/>
    <n v="74438.55"/>
  </r>
  <r>
    <x v="2"/>
    <s v="Nolita"/>
    <x v="0"/>
    <n v="69"/>
    <n v="285.16000000000003"/>
    <n v="1"/>
    <n v="781.7"/>
    <n v="19676.04"/>
  </r>
  <r>
    <x v="2"/>
    <s v="Chelsea"/>
    <x v="0"/>
    <n v="359"/>
    <n v="283.17"/>
    <n v="1"/>
    <n v="971.9"/>
    <n v="101658.03"/>
  </r>
  <r>
    <x v="2"/>
    <s v="Chinatown"/>
    <x v="0"/>
    <n v="87"/>
    <n v="282.91000000000003"/>
    <n v="1"/>
    <n v="856"/>
    <n v="24613.170000000002"/>
  </r>
  <r>
    <x v="2"/>
    <s v="Hell's Kitchen"/>
    <x v="0"/>
    <n v="775"/>
    <n v="270.58"/>
    <n v="1"/>
    <n v="999.69"/>
    <n v="209699.5"/>
  </r>
  <r>
    <x v="2"/>
    <s v="Gramercy"/>
    <x v="0"/>
    <n v="106"/>
    <n v="270.39"/>
    <n v="1"/>
    <n v="868"/>
    <n v="28661.34"/>
  </r>
  <r>
    <x v="2"/>
    <s v="East Village"/>
    <x v="0"/>
    <n v="246"/>
    <n v="269.05"/>
    <n v="1"/>
    <n v="995.57"/>
    <n v="66186.3"/>
  </r>
  <r>
    <x v="2"/>
    <s v="Two Bridges"/>
    <x v="0"/>
    <n v="9"/>
    <n v="261.83999999999997"/>
    <n v="131.91999999999999"/>
    <n v="618.13"/>
    <n v="2356.56"/>
  </r>
  <r>
    <x v="2"/>
    <s v="Upper East Side"/>
    <x v="0"/>
    <n v="769"/>
    <n v="261.51"/>
    <n v="1"/>
    <n v="990"/>
    <n v="201101.19"/>
  </r>
  <r>
    <x v="2"/>
    <s v="Battery Park City"/>
    <x v="0"/>
    <n v="14"/>
    <n v="259.27999999999997"/>
    <n v="1"/>
    <n v="679.64"/>
    <n v="3629.9199999999996"/>
  </r>
  <r>
    <x v="2"/>
    <s v="Flatiron District"/>
    <x v="0"/>
    <n v="25"/>
    <n v="258.17"/>
    <n v="1"/>
    <n v="605.04"/>
    <n v="6454.25"/>
  </r>
  <r>
    <x v="2"/>
    <s v="Kips Bay"/>
    <x v="0"/>
    <n v="189"/>
    <n v="255.17"/>
    <n v="1"/>
    <n v="924.77"/>
    <n v="48227.13"/>
  </r>
  <r>
    <x v="2"/>
    <s v="Little Italy"/>
    <x v="0"/>
    <n v="67"/>
    <n v="254.54"/>
    <n v="1"/>
    <n v="855"/>
    <n v="17054.18"/>
  </r>
  <r>
    <x v="2"/>
    <s v="Upper West Side"/>
    <x v="0"/>
    <n v="506"/>
    <n v="252.43"/>
    <n v="1"/>
    <n v="854.66"/>
    <n v="127729.58"/>
  </r>
  <r>
    <x v="2"/>
    <s v="Morningside Heights"/>
    <x v="0"/>
    <n v="27"/>
    <n v="249.92"/>
    <n v="1"/>
    <n v="952"/>
    <n v="6747.8399999999992"/>
  </r>
  <r>
    <x v="2"/>
    <s v="Marble Hill"/>
    <x v="0"/>
    <n v="2"/>
    <n v="246.59"/>
    <n v="132.9"/>
    <n v="360.28"/>
    <n v="493.18"/>
  </r>
  <r>
    <x v="2"/>
    <s v="Harlem"/>
    <x v="0"/>
    <n v="445"/>
    <n v="245.08"/>
    <n v="1"/>
    <n v="976.11"/>
    <n v="109060.6"/>
  </r>
  <r>
    <x v="2"/>
    <s v="East Harlem"/>
    <x v="0"/>
    <n v="211"/>
    <n v="231.65"/>
    <n v="1"/>
    <n v="984"/>
    <n v="48878.15"/>
  </r>
  <r>
    <x v="2"/>
    <s v="Washington Heights"/>
    <x v="0"/>
    <n v="80"/>
    <n v="202.35"/>
    <n v="10.75"/>
    <n v="840.69"/>
    <n v="16188"/>
  </r>
  <r>
    <x v="2"/>
    <s v="Inwood"/>
    <x v="0"/>
    <n v="29"/>
    <n v="188.79"/>
    <n v="79.150000000000006"/>
    <n v="995.57"/>
    <n v="5474.91"/>
  </r>
  <r>
    <x v="2"/>
    <s v="Roosevelt Island"/>
    <x v="0"/>
    <n v="7"/>
    <n v="152.80000000000001"/>
    <n v="1"/>
    <n v="341.42"/>
    <n v="1069.6000000000001"/>
  </r>
  <r>
    <x v="3"/>
    <s v="Hollis Hills"/>
    <x v="0"/>
    <n v="1"/>
    <n v="575.21"/>
    <n v="575.21"/>
    <n v="575.21"/>
    <n v="575.21"/>
  </r>
  <r>
    <x v="3"/>
    <s v="Holliswood"/>
    <x v="0"/>
    <n v="1"/>
    <n v="395.43"/>
    <n v="395.43"/>
    <n v="395.43"/>
    <n v="395.43"/>
  </r>
  <r>
    <x v="3"/>
    <s v="Edgemere"/>
    <x v="0"/>
    <n v="6"/>
    <n v="286.79000000000002"/>
    <n v="88.7"/>
    <n v="555.87"/>
    <n v="1720.7400000000002"/>
  </r>
  <r>
    <x v="3"/>
    <s v="Neponsit"/>
    <x v="0"/>
    <n v="2"/>
    <n v="286.24"/>
    <n v="275.47000000000003"/>
    <n v="297.01"/>
    <n v="572.48"/>
  </r>
  <r>
    <x v="3"/>
    <s v="Jamaica Estates"/>
    <x v="0"/>
    <n v="9"/>
    <n v="274.73"/>
    <n v="141.30000000000001"/>
    <n v="414"/>
    <n v="2472.5700000000002"/>
  </r>
  <r>
    <x v="3"/>
    <s v="Arverne"/>
    <x v="0"/>
    <n v="41"/>
    <n v="261.64"/>
    <n v="1"/>
    <n v="894.09"/>
    <n v="10727.24"/>
  </r>
  <r>
    <x v="3"/>
    <s v="Belle Harbor"/>
    <x v="0"/>
    <n v="7"/>
    <n v="260.58"/>
    <n v="169.8"/>
    <n v="400"/>
    <n v="1824.06"/>
  </r>
  <r>
    <x v="3"/>
    <s v="Long Island City"/>
    <x v="0"/>
    <n v="90"/>
    <n v="236.45"/>
    <n v="1"/>
    <n v="880.29"/>
    <n v="21280.5"/>
  </r>
  <r>
    <x v="3"/>
    <s v="Springfield Gardens"/>
    <x v="0"/>
    <n v="59"/>
    <n v="235.36"/>
    <n v="54.94"/>
    <n v="825"/>
    <n v="13886.240000000002"/>
  </r>
  <r>
    <x v="3"/>
    <s v="Astoria"/>
    <x v="0"/>
    <n v="118"/>
    <n v="229.08"/>
    <n v="1"/>
    <n v="888.47"/>
    <n v="27031.440000000002"/>
  </r>
  <r>
    <x v="3"/>
    <s v="Ridgewood"/>
    <x v="0"/>
    <n v="60"/>
    <n v="227.37"/>
    <n v="40.58"/>
    <n v="598"/>
    <n v="13642.2"/>
  </r>
  <r>
    <x v="3"/>
    <s v="Far Rockaway"/>
    <x v="0"/>
    <n v="18"/>
    <n v="226.87"/>
    <n v="120.97"/>
    <n v="499.73"/>
    <n v="4083.66"/>
  </r>
  <r>
    <x v="3"/>
    <s v="Bayside"/>
    <x v="0"/>
    <n v="27"/>
    <n v="218.7"/>
    <n v="1"/>
    <n v="924.68"/>
    <n v="5904.9"/>
  </r>
  <r>
    <x v="3"/>
    <s v="Howard Beach"/>
    <x v="0"/>
    <n v="14"/>
    <n v="216.45"/>
    <n v="11.07"/>
    <n v="611.16"/>
    <n v="3030.2999999999997"/>
  </r>
  <r>
    <x v="3"/>
    <s v="Breezy Point"/>
    <x v="0"/>
    <n v="2"/>
    <n v="210.96"/>
    <n v="171.11"/>
    <n v="250.81"/>
    <n v="421.92"/>
  </r>
  <r>
    <x v="3"/>
    <s v="Bellerose"/>
    <x v="0"/>
    <n v="12"/>
    <n v="210.63"/>
    <n v="94.7"/>
    <n v="485.42"/>
    <n v="2527.56"/>
  </r>
  <r>
    <x v="3"/>
    <s v="College Point"/>
    <x v="0"/>
    <n v="16"/>
    <n v="207.48"/>
    <n v="128.22999999999999"/>
    <n v="348.67"/>
    <n v="3319.68"/>
  </r>
  <r>
    <x v="3"/>
    <s v="Glendale"/>
    <x v="0"/>
    <n v="22"/>
    <n v="202.99"/>
    <n v="83.78"/>
    <n v="508.9"/>
    <n v="4465.7800000000007"/>
  </r>
  <r>
    <x v="3"/>
    <s v="Maspeth"/>
    <x v="0"/>
    <n v="24"/>
    <n v="200.92"/>
    <n v="40.5"/>
    <n v="561.23"/>
    <n v="4822.08"/>
  </r>
  <r>
    <x v="3"/>
    <s v="Richmond Hill"/>
    <x v="0"/>
    <n v="29"/>
    <n v="193.65"/>
    <n v="60.87"/>
    <n v="890"/>
    <n v="5615.85"/>
  </r>
  <r>
    <x v="3"/>
    <s v="Ditmars Steinway"/>
    <x v="0"/>
    <n v="47"/>
    <n v="190"/>
    <n v="31.75"/>
    <n v="586"/>
    <n v="8930"/>
  </r>
  <r>
    <x v="3"/>
    <s v="Rosedale"/>
    <x v="0"/>
    <n v="54"/>
    <n v="187"/>
    <n v="1"/>
    <n v="594.5"/>
    <n v="10098"/>
  </r>
  <r>
    <x v="3"/>
    <s v="Jamaica"/>
    <x v="0"/>
    <n v="92"/>
    <n v="184.68"/>
    <n v="57.5"/>
    <n v="994.47"/>
    <n v="16990.560000000001"/>
  </r>
  <r>
    <x v="3"/>
    <s v="Flushing"/>
    <x v="0"/>
    <n v="68"/>
    <n v="180.5"/>
    <n v="51.27"/>
    <n v="586.27"/>
    <n v="12274"/>
  </r>
  <r>
    <x v="3"/>
    <s v="South Ozone Park"/>
    <x v="0"/>
    <n v="15"/>
    <n v="179.59"/>
    <n v="70.95"/>
    <n v="347"/>
    <n v="2693.85"/>
  </r>
  <r>
    <x v="3"/>
    <s v="Laurelton"/>
    <x v="0"/>
    <n v="17"/>
    <n v="179.49"/>
    <n v="58.85"/>
    <n v="375.45"/>
    <n v="3051.33"/>
  </r>
  <r>
    <x v="3"/>
    <s v="St. Albans"/>
    <x v="0"/>
    <n v="44"/>
    <n v="178.92"/>
    <n v="57.56"/>
    <n v="598.44000000000005"/>
    <n v="7872.48"/>
  </r>
  <r>
    <x v="3"/>
    <s v="East Elmhurst"/>
    <x v="0"/>
    <n v="72"/>
    <n v="175.47"/>
    <n v="1"/>
    <n v="656"/>
    <n v="12633.84"/>
  </r>
  <r>
    <x v="3"/>
    <s v="Rego Park"/>
    <x v="0"/>
    <n v="16"/>
    <n v="173.33"/>
    <n v="59.75"/>
    <n v="404.4"/>
    <n v="2773.28"/>
  </r>
  <r>
    <x v="3"/>
    <s v="Middle Village"/>
    <x v="0"/>
    <n v="9"/>
    <n v="171.66"/>
    <n v="51.29"/>
    <n v="351.53"/>
    <n v="1544.94"/>
  </r>
  <r>
    <x v="3"/>
    <s v="Whitestone"/>
    <x v="0"/>
    <n v="9"/>
    <n v="171.27"/>
    <n v="91.3"/>
    <n v="407.47"/>
    <n v="1541.43"/>
  </r>
  <r>
    <x v="3"/>
    <s v="Corona"/>
    <x v="0"/>
    <n v="9"/>
    <n v="170.29"/>
    <n v="97.16"/>
    <n v="263"/>
    <n v="1532.61"/>
  </r>
  <r>
    <x v="3"/>
    <s v="Kew Gardens Hills"/>
    <x v="0"/>
    <n v="10"/>
    <n v="169.74"/>
    <n v="48.18"/>
    <n v="424.14"/>
    <n v="1697.4"/>
  </r>
  <r>
    <x v="3"/>
    <s v="Jackson Heights"/>
    <x v="0"/>
    <n v="30"/>
    <n v="169.37"/>
    <n v="81.489999999999995"/>
    <n v="355.1"/>
    <n v="5081.1000000000004"/>
  </r>
  <r>
    <x v="3"/>
    <s v="Forest Hills"/>
    <x v="0"/>
    <n v="29"/>
    <n v="169.24"/>
    <n v="30.96"/>
    <n v="691.52"/>
    <n v="4907.96"/>
  </r>
  <r>
    <x v="3"/>
    <s v="Rockaway Beach"/>
    <x v="0"/>
    <n v="29"/>
    <n v="169.19"/>
    <n v="75.400000000000006"/>
    <n v="330.03"/>
    <n v="4906.51"/>
  </r>
  <r>
    <x v="3"/>
    <s v="Sunnyside"/>
    <x v="0"/>
    <n v="50"/>
    <n v="169.12"/>
    <n v="67.180000000000007"/>
    <n v="436.84"/>
    <n v="8456"/>
  </r>
  <r>
    <x v="3"/>
    <s v="Kew Gardens"/>
    <x v="0"/>
    <n v="3"/>
    <n v="165.28"/>
    <n v="71.53"/>
    <n v="222.88"/>
    <n v="495.84000000000003"/>
  </r>
  <r>
    <x v="3"/>
    <s v="Elmhurst"/>
    <x v="0"/>
    <n v="28"/>
    <n v="160.44"/>
    <n v="49.16"/>
    <n v="466.07"/>
    <n v="4492.32"/>
  </r>
  <r>
    <x v="3"/>
    <s v="Queens Village"/>
    <x v="0"/>
    <n v="34"/>
    <n v="157.77000000000001"/>
    <n v="1"/>
    <n v="562.13"/>
    <n v="5364.18"/>
  </r>
  <r>
    <x v="3"/>
    <s v="Briarwood"/>
    <x v="0"/>
    <n v="8"/>
    <n v="157"/>
    <n v="95.9"/>
    <n v="191.37"/>
    <n v="1256"/>
  </r>
  <r>
    <x v="3"/>
    <s v="Woodside"/>
    <x v="0"/>
    <n v="32"/>
    <n v="153.75"/>
    <n v="1"/>
    <n v="486.14"/>
    <n v="4920"/>
  </r>
  <r>
    <x v="3"/>
    <s v="Woodhaven"/>
    <x v="0"/>
    <n v="17"/>
    <n v="152.96"/>
    <n v="79.56"/>
    <n v="389.71"/>
    <n v="2600.3200000000002"/>
  </r>
  <r>
    <x v="3"/>
    <s v="Cambria Heights"/>
    <x v="0"/>
    <n v="23"/>
    <n v="150.79"/>
    <n v="60.87"/>
    <n v="328.5"/>
    <n v="3468.1699999999996"/>
  </r>
  <r>
    <x v="3"/>
    <s v="Jamaica Hills"/>
    <x v="0"/>
    <n v="5"/>
    <n v="145.24"/>
    <n v="88.26"/>
    <n v="261.8"/>
    <n v="726.2"/>
  </r>
  <r>
    <x v="3"/>
    <s v="Ozone Park"/>
    <x v="0"/>
    <n v="31"/>
    <n v="139.38"/>
    <n v="13.2"/>
    <n v="372.86"/>
    <n v="4320.78"/>
  </r>
  <r>
    <x v="3"/>
    <s v="Hollis"/>
    <x v="0"/>
    <n v="9"/>
    <n v="134.87"/>
    <n v="77.89"/>
    <n v="291.87"/>
    <n v="1213.83"/>
  </r>
  <r>
    <x v="3"/>
    <s v="Douglaston"/>
    <x v="0"/>
    <n v="2"/>
    <n v="132.9"/>
    <n v="127.7"/>
    <n v="138.09"/>
    <n v="265.8"/>
  </r>
  <r>
    <x v="3"/>
    <s v="Fresh Meadows"/>
    <x v="0"/>
    <n v="6"/>
    <n v="129.36000000000001"/>
    <n v="2"/>
    <n v="366.91"/>
    <n v="776.16000000000008"/>
  </r>
  <r>
    <x v="3"/>
    <s v="Bayswater"/>
    <x v="0"/>
    <n v="5"/>
    <n v="126.31"/>
    <n v="83.72"/>
    <n v="161"/>
    <n v="631.54999999999995"/>
  </r>
  <r>
    <x v="4"/>
    <s v="New Springville"/>
    <x v="0"/>
    <n v="1"/>
    <n v="328.17"/>
    <n v="328.17"/>
    <n v="328.17"/>
    <n v="328.17"/>
  </r>
  <r>
    <x v="4"/>
    <s v="Grymes Hill"/>
    <x v="0"/>
    <n v="3"/>
    <n v="294.83999999999997"/>
    <n v="159.03"/>
    <n v="392.69"/>
    <n v="884.52"/>
  </r>
  <r>
    <x v="4"/>
    <s v="Willowbrook"/>
    <x v="0"/>
    <n v="1"/>
    <n v="238.97"/>
    <n v="238.97"/>
    <n v="238.97"/>
    <n v="238.97"/>
  </r>
  <r>
    <x v="4"/>
    <s v="Dongan Hills"/>
    <x v="0"/>
    <n v="1"/>
    <n v="226.4"/>
    <n v="226.4"/>
    <n v="226.4"/>
    <n v="226.4"/>
  </r>
  <r>
    <x v="4"/>
    <s v="Lighthouse Hill"/>
    <x v="0"/>
    <n v="2"/>
    <n v="209.78"/>
    <n v="133.66"/>
    <n v="285.89"/>
    <n v="419.56"/>
  </r>
  <r>
    <x v="4"/>
    <s v="Concord"/>
    <x v="0"/>
    <n v="3"/>
    <n v="208.36"/>
    <n v="73.75"/>
    <n v="300.01"/>
    <n v="625.08000000000004"/>
  </r>
  <r>
    <x v="4"/>
    <s v="Westerleigh"/>
    <x v="0"/>
    <n v="4"/>
    <n v="206.37"/>
    <n v="26.04"/>
    <n v="571"/>
    <n v="825.48"/>
  </r>
  <r>
    <x v="4"/>
    <s v="Tottenville"/>
    <x v="0"/>
    <n v="3"/>
    <n v="202.45"/>
    <n v="105.3"/>
    <n v="285.23"/>
    <n v="607.34999999999991"/>
  </r>
  <r>
    <x v="4"/>
    <s v="Stapleton"/>
    <x v="0"/>
    <n v="3"/>
    <n v="189.1"/>
    <n v="134.03"/>
    <n v="259.05"/>
    <n v="567.29999999999995"/>
  </r>
  <r>
    <x v="4"/>
    <s v="Bull's Head"/>
    <x v="0"/>
    <n v="3"/>
    <n v="188.96"/>
    <n v="82.03"/>
    <n v="390.87"/>
    <n v="566.88"/>
  </r>
  <r>
    <x v="4"/>
    <s v="Arrochar"/>
    <x v="0"/>
    <n v="8"/>
    <n v="176.81"/>
    <n v="75.78"/>
    <n v="355.5"/>
    <n v="1414.48"/>
  </r>
  <r>
    <x v="4"/>
    <s v="Randall Manor"/>
    <x v="0"/>
    <n v="7"/>
    <n v="162.19"/>
    <n v="108.43"/>
    <n v="353.09"/>
    <n v="1135.33"/>
  </r>
  <r>
    <x v="4"/>
    <s v="Emerson Hill"/>
    <x v="0"/>
    <n v="4"/>
    <n v="159.87"/>
    <n v="82.98"/>
    <n v="257"/>
    <n v="639.48"/>
  </r>
  <r>
    <x v="4"/>
    <s v="St. George"/>
    <x v="0"/>
    <n v="15"/>
    <n v="156.11000000000001"/>
    <n v="86.63"/>
    <n v="303.3"/>
    <n v="2341.65"/>
  </r>
  <r>
    <x v="4"/>
    <s v="Castleton Corners"/>
    <x v="0"/>
    <n v="2"/>
    <n v="147.46"/>
    <n v="91.1"/>
    <n v="203.81"/>
    <n v="294.92"/>
  </r>
  <r>
    <x v="4"/>
    <s v="Prince's Bay"/>
    <x v="0"/>
    <n v="4"/>
    <n v="135.19999999999999"/>
    <n v="117.84"/>
    <n v="161.35"/>
    <n v="540.79999999999995"/>
  </r>
  <r>
    <x v="4"/>
    <s v="Midland Beach"/>
    <x v="0"/>
    <n v="5"/>
    <n v="131.88999999999999"/>
    <n v="84.05"/>
    <n v="217.67"/>
    <n v="659.44999999999993"/>
  </r>
  <r>
    <x v="4"/>
    <s v="Howland Hook"/>
    <x v="0"/>
    <n v="2"/>
    <n v="131.29"/>
    <n v="120.61"/>
    <n v="141.96"/>
    <n v="262.58"/>
  </r>
  <r>
    <x v="4"/>
    <s v="Arden Heights"/>
    <x v="0"/>
    <n v="2"/>
    <n v="130.25"/>
    <n v="126.1"/>
    <n v="134.4"/>
    <n v="260.5"/>
  </r>
  <r>
    <x v="4"/>
    <s v="Tompkinsville"/>
    <x v="0"/>
    <n v="13"/>
    <n v="122.13"/>
    <n v="82.47"/>
    <n v="200.09"/>
    <n v="1587.69"/>
  </r>
  <r>
    <x v="4"/>
    <s v="Clifton"/>
    <x v="0"/>
    <n v="2"/>
    <n v="117.23"/>
    <n v="103.8"/>
    <n v="130.65"/>
    <n v="234.46"/>
  </r>
  <r>
    <x v="4"/>
    <s v="Silver Lake"/>
    <x v="0"/>
    <n v="1"/>
    <n v="117.15"/>
    <n v="117.15"/>
    <n v="117.15"/>
    <n v="117.15"/>
  </r>
  <r>
    <x v="4"/>
    <s v="Eltingville"/>
    <x v="0"/>
    <n v="1"/>
    <n v="110.4"/>
    <n v="110.4"/>
    <n v="110.4"/>
    <n v="110.4"/>
  </r>
  <r>
    <x v="4"/>
    <s v="Grant City"/>
    <x v="0"/>
    <n v="3"/>
    <n v="105.35"/>
    <n v="76.33"/>
    <n v="119.87"/>
    <n v="316.04999999999995"/>
  </r>
  <r>
    <x v="4"/>
    <s v="Rosebank"/>
    <x v="0"/>
    <n v="2"/>
    <n v="105.1"/>
    <n v="97.73"/>
    <n v="112.47"/>
    <n v="210.2"/>
  </r>
  <r>
    <x v="4"/>
    <s v="Rossville"/>
    <x v="0"/>
    <n v="2"/>
    <n v="101.09"/>
    <n v="94.64"/>
    <n v="107.53"/>
    <n v="202.18"/>
  </r>
  <r>
    <x v="4"/>
    <s v="West Brighton"/>
    <x v="0"/>
    <n v="8"/>
    <n v="100.47"/>
    <n v="63.01"/>
    <n v="175.9"/>
    <n v="803.76"/>
  </r>
  <r>
    <x v="4"/>
    <s v="Huguenot"/>
    <x v="0"/>
    <n v="2"/>
    <n v="98.65"/>
    <n v="97.73"/>
    <n v="99.56"/>
    <n v="197.3"/>
  </r>
  <r>
    <x v="4"/>
    <s v="Mariners Harbor"/>
    <x v="0"/>
    <n v="8"/>
    <n v="92.49"/>
    <n v="55.77"/>
    <n v="138.30000000000001"/>
    <n v="739.92"/>
  </r>
  <r>
    <x v="4"/>
    <s v="New Brighton"/>
    <x v="0"/>
    <n v="3"/>
    <n v="91.73"/>
    <n v="1"/>
    <n v="140.71"/>
    <n v="275.19"/>
  </r>
  <r>
    <x v="4"/>
    <s v="Great Kills"/>
    <x v="0"/>
    <n v="3"/>
    <n v="91.14"/>
    <n v="51.71"/>
    <n v="113.2"/>
    <n v="273.42"/>
  </r>
  <r>
    <x v="4"/>
    <s v="South Beach"/>
    <x v="0"/>
    <n v="4"/>
    <n v="90.09"/>
    <n v="65.150000000000006"/>
    <n v="100.7"/>
    <n v="360.36"/>
  </r>
  <r>
    <x v="4"/>
    <s v="Shore Acres"/>
    <x v="0"/>
    <n v="4"/>
    <n v="85.21"/>
    <n v="69.69"/>
    <n v="117.8"/>
    <n v="340.84"/>
  </r>
  <r>
    <x v="4"/>
    <s v="Port Richmond"/>
    <x v="0"/>
    <n v="2"/>
    <n v="82.05"/>
    <n v="78.17"/>
    <n v="85.93"/>
    <n v="164.1"/>
  </r>
  <r>
    <x v="4"/>
    <s v="Graniteville"/>
    <x v="0"/>
    <n v="1"/>
    <n v="79"/>
    <n v="79"/>
    <n v="79"/>
    <n v="79"/>
  </r>
  <r>
    <x v="4"/>
    <s v="Chelsea, Staten Island"/>
    <x v="0"/>
    <n v="1"/>
    <n v="73.400000000000006"/>
    <n v="73.400000000000006"/>
    <n v="73.400000000000006"/>
    <n v="73.400000000000006"/>
  </r>
  <r>
    <x v="4"/>
    <s v="Fort Wadsworth"/>
    <x v="0"/>
    <n v="1"/>
    <n v="1"/>
    <n v="1"/>
    <n v="1"/>
    <n v="1"/>
  </r>
  <r>
    <x v="1"/>
    <s v="Boerum Hill"/>
    <x v="1"/>
    <n v="8"/>
    <n v="598.5"/>
    <n v="399"/>
    <n v="798"/>
    <n v="4788"/>
  </r>
  <r>
    <x v="1"/>
    <s v="Greenpoint"/>
    <x v="1"/>
    <n v="4"/>
    <n v="571.25"/>
    <n v="564"/>
    <n v="593"/>
    <n v="2285"/>
  </r>
  <r>
    <x v="1"/>
    <s v="Williamsburg"/>
    <x v="1"/>
    <n v="1"/>
    <n v="446.7"/>
    <n v="446.7"/>
    <n v="446.7"/>
    <n v="446.7"/>
  </r>
  <r>
    <x v="1"/>
    <s v="Sunset Park"/>
    <x v="1"/>
    <n v="24"/>
    <n v="317.42"/>
    <n v="210"/>
    <n v="549"/>
    <n v="7618.08"/>
  </r>
  <r>
    <x v="1"/>
    <s v="Flatlands"/>
    <x v="1"/>
    <n v="6"/>
    <n v="241.37"/>
    <n v="185"/>
    <n v="399.23"/>
    <n v="1448.22"/>
  </r>
  <r>
    <x v="2"/>
    <s v="Greenwich Village"/>
    <x v="1"/>
    <n v="2"/>
    <n v="587"/>
    <n v="549"/>
    <n v="625"/>
    <n v="1174"/>
  </r>
  <r>
    <x v="2"/>
    <s v="Washington Heights"/>
    <x v="1"/>
    <n v="10"/>
    <n v="519.28"/>
    <n v="215"/>
    <n v="953.6"/>
    <n v="5192.7999999999993"/>
  </r>
  <r>
    <x v="2"/>
    <s v="SoHo"/>
    <x v="1"/>
    <n v="10"/>
    <n v="491.33"/>
    <n v="254"/>
    <n v="796"/>
    <n v="4913.3"/>
  </r>
  <r>
    <x v="2"/>
    <s v="Midtown"/>
    <x v="1"/>
    <n v="62"/>
    <n v="462.84"/>
    <n v="1"/>
    <n v="969"/>
    <n v="28696.079999999998"/>
  </r>
  <r>
    <x v="2"/>
    <s v="Upper West Side"/>
    <x v="1"/>
    <n v="42"/>
    <n v="451.48"/>
    <n v="1"/>
    <n v="930.77"/>
    <n v="18962.16"/>
  </r>
  <r>
    <x v="2"/>
    <s v="Lower East Side"/>
    <x v="1"/>
    <n v="33"/>
    <n v="403.53"/>
    <n v="1"/>
    <n v="888.2"/>
    <n v="13316.49"/>
  </r>
  <r>
    <x v="2"/>
    <s v="Hell's Kitchen"/>
    <x v="1"/>
    <n v="38"/>
    <n v="376.49"/>
    <n v="1"/>
    <n v="920"/>
    <n v="14306.62"/>
  </r>
  <r>
    <x v="2"/>
    <s v="Theater District"/>
    <x v="1"/>
    <n v="39"/>
    <n v="371.38"/>
    <n v="1"/>
    <n v="988.8"/>
    <n v="14483.82"/>
  </r>
  <r>
    <x v="2"/>
    <s v="Financial District"/>
    <x v="1"/>
    <n v="5"/>
    <n v="360.65"/>
    <n v="252.81"/>
    <n v="584.01"/>
    <n v="1803.25"/>
  </r>
  <r>
    <x v="2"/>
    <s v="Murray Hill"/>
    <x v="1"/>
    <n v="46"/>
    <n v="356.51"/>
    <n v="1"/>
    <n v="636"/>
    <n v="16399.46"/>
  </r>
  <r>
    <x v="2"/>
    <s v="Chinatown"/>
    <x v="1"/>
    <n v="23"/>
    <n v="327.48"/>
    <n v="122"/>
    <n v="922"/>
    <n v="7532.0400000000009"/>
  </r>
  <r>
    <x v="2"/>
    <s v="Harlem"/>
    <x v="1"/>
    <n v="1"/>
    <n v="250"/>
    <n v="250"/>
    <n v="250"/>
    <n v="250"/>
  </r>
  <r>
    <x v="2"/>
    <s v="Flatiron District"/>
    <x v="1"/>
    <n v="4"/>
    <n v="211.75"/>
    <n v="177"/>
    <n v="243"/>
    <n v="847"/>
  </r>
  <r>
    <x v="2"/>
    <s v="Upper East Side"/>
    <x v="1"/>
    <n v="31"/>
    <n v="176.71"/>
    <n v="1"/>
    <n v="932"/>
    <n v="5478.01"/>
  </r>
  <r>
    <x v="3"/>
    <s v="Long Island City"/>
    <x v="1"/>
    <n v="89"/>
    <n v="389.47"/>
    <n v="1"/>
    <n v="933"/>
    <n v="34662.83"/>
  </r>
  <r>
    <x v="3"/>
    <s v="Jamaica"/>
    <x v="1"/>
    <n v="2"/>
    <n v="164.5"/>
    <n v="158"/>
    <n v="171"/>
    <n v="329"/>
  </r>
  <r>
    <x v="0"/>
    <s v="Fieldston"/>
    <x v="2"/>
    <n v="5"/>
    <n v="242.59"/>
    <n v="67.680000000000007"/>
    <n v="888.51"/>
    <n v="1212.95"/>
  </r>
  <r>
    <x v="0"/>
    <s v="City Island"/>
    <x v="2"/>
    <n v="3"/>
    <n v="233.91"/>
    <n v="36.39"/>
    <n v="502.33"/>
    <n v="701.73"/>
  </r>
  <r>
    <x v="0"/>
    <s v="Spuyten Duyvil"/>
    <x v="2"/>
    <n v="1"/>
    <n v="203.1"/>
    <n v="203.1"/>
    <n v="203.1"/>
    <n v="203.1"/>
  </r>
  <r>
    <x v="0"/>
    <s v="Port Morris"/>
    <x v="2"/>
    <n v="5"/>
    <n v="199.07"/>
    <n v="125"/>
    <n v="350.94"/>
    <n v="995.34999999999991"/>
  </r>
  <r>
    <x v="0"/>
    <s v="Castle Hill"/>
    <x v="2"/>
    <n v="5"/>
    <n v="177.18"/>
    <n v="91.44"/>
    <n v="265.5"/>
    <n v="885.90000000000009"/>
  </r>
  <r>
    <x v="0"/>
    <s v="East Morrisania"/>
    <x v="2"/>
    <n v="3"/>
    <n v="171.08"/>
    <n v="111.33"/>
    <n v="202.23"/>
    <n v="513.24"/>
  </r>
  <r>
    <x v="0"/>
    <s v="Country Club"/>
    <x v="2"/>
    <n v="1"/>
    <n v="164.47"/>
    <n v="164.47"/>
    <n v="164.47"/>
    <n v="164.47"/>
  </r>
  <r>
    <x v="0"/>
    <s v="Baychester"/>
    <x v="2"/>
    <n v="6"/>
    <n v="164.24"/>
    <n v="53.12"/>
    <n v="333.7"/>
    <n v="985.44"/>
  </r>
  <r>
    <x v="0"/>
    <s v="Unionport"/>
    <x v="2"/>
    <n v="5"/>
    <n v="157.75"/>
    <n v="77.83"/>
    <n v="221.7"/>
    <n v="788.75"/>
  </r>
  <r>
    <x v="0"/>
    <s v="Morrisania"/>
    <x v="2"/>
    <n v="5"/>
    <n v="157"/>
    <n v="55.87"/>
    <n v="323.33"/>
    <n v="785"/>
  </r>
  <r>
    <x v="0"/>
    <s v="Mott Haven"/>
    <x v="2"/>
    <n v="27"/>
    <n v="153.47"/>
    <n v="40.93"/>
    <n v="487"/>
    <n v="4143.6899999999996"/>
  </r>
  <r>
    <x v="0"/>
    <s v="Melrose"/>
    <x v="2"/>
    <n v="10"/>
    <n v="148.25"/>
    <n v="68.069999999999993"/>
    <n v="238"/>
    <n v="1482.5"/>
  </r>
  <r>
    <x v="0"/>
    <s v="Van Nest"/>
    <x v="2"/>
    <n v="4"/>
    <n v="144.54"/>
    <n v="74.2"/>
    <n v="211.12"/>
    <n v="578.16"/>
  </r>
  <r>
    <x v="0"/>
    <s v="Concourse"/>
    <x v="2"/>
    <n v="26"/>
    <n v="139.11000000000001"/>
    <n v="54.59"/>
    <n v="342.5"/>
    <n v="3616.8600000000006"/>
  </r>
  <r>
    <x v="0"/>
    <s v="North Riverdale"/>
    <x v="2"/>
    <n v="3"/>
    <n v="134.44"/>
    <n v="80.47"/>
    <n v="214.41"/>
    <n v="403.32"/>
  </r>
  <r>
    <x v="0"/>
    <s v="Allerton"/>
    <x v="2"/>
    <n v="19"/>
    <n v="132.83000000000001"/>
    <n v="45.73"/>
    <n v="553.1"/>
    <n v="2523.7700000000004"/>
  </r>
  <r>
    <x v="0"/>
    <s v="Schuylerville"/>
    <x v="2"/>
    <n v="1"/>
    <n v="128.19999999999999"/>
    <n v="128.19999999999999"/>
    <n v="128.19999999999999"/>
    <n v="128.19999999999999"/>
  </r>
  <r>
    <x v="0"/>
    <s v="West Farms"/>
    <x v="2"/>
    <n v="2"/>
    <n v="124.75"/>
    <n v="110.63"/>
    <n v="138.86000000000001"/>
    <n v="249.5"/>
  </r>
  <r>
    <x v="0"/>
    <s v="Eastchester"/>
    <x v="2"/>
    <n v="5"/>
    <n v="121.03"/>
    <n v="75.400000000000006"/>
    <n v="176.99"/>
    <n v="605.15"/>
  </r>
  <r>
    <x v="0"/>
    <s v="Parkchester"/>
    <x v="2"/>
    <n v="10"/>
    <n v="113.82"/>
    <n v="51.19"/>
    <n v="220.93"/>
    <n v="1138.1999999999998"/>
  </r>
  <r>
    <x v="0"/>
    <s v="Morris Heights"/>
    <x v="2"/>
    <n v="7"/>
    <n v="113.75"/>
    <n v="33.229999999999997"/>
    <n v="369.86"/>
    <n v="796.25"/>
  </r>
  <r>
    <x v="0"/>
    <s v="Soundview"/>
    <x v="2"/>
    <n v="10"/>
    <n v="110.23"/>
    <n v="43.53"/>
    <n v="333.4"/>
    <n v="1102.3"/>
  </r>
  <r>
    <x v="0"/>
    <s v="Concourse Village"/>
    <x v="2"/>
    <n v="13"/>
    <n v="106.77"/>
    <n v="46.05"/>
    <n v="189"/>
    <n v="1388.01"/>
  </r>
  <r>
    <x v="0"/>
    <s v="Tremont"/>
    <x v="2"/>
    <n v="6"/>
    <n v="102.6"/>
    <n v="64.17"/>
    <n v="134.03"/>
    <n v="615.59999999999991"/>
  </r>
  <r>
    <x v="0"/>
    <s v="Pelham Gardens"/>
    <x v="2"/>
    <n v="20"/>
    <n v="99.98"/>
    <n v="41.67"/>
    <n v="194"/>
    <n v="1999.6000000000001"/>
  </r>
  <r>
    <x v="0"/>
    <s v="Wakefield"/>
    <x v="2"/>
    <n v="38"/>
    <n v="98.28"/>
    <n v="44.27"/>
    <n v="387.83"/>
    <n v="3734.64"/>
  </r>
  <r>
    <x v="0"/>
    <s v="Throgs Neck"/>
    <x v="2"/>
    <n v="8"/>
    <n v="89.35"/>
    <n v="41.67"/>
    <n v="167.68"/>
    <n v="714.8"/>
  </r>
  <r>
    <x v="0"/>
    <s v="Morris Park"/>
    <x v="2"/>
    <n v="17"/>
    <n v="87.38"/>
    <n v="36.93"/>
    <n v="291"/>
    <n v="1485.46"/>
  </r>
  <r>
    <x v="0"/>
    <s v="Clason Point"/>
    <x v="2"/>
    <n v="13"/>
    <n v="86.51"/>
    <n v="41.67"/>
    <n v="164.53"/>
    <n v="1124.6300000000001"/>
  </r>
  <r>
    <x v="0"/>
    <s v="Claremont Village"/>
    <x v="2"/>
    <n v="11"/>
    <n v="85.32"/>
    <n v="38.17"/>
    <n v="180.9"/>
    <n v="938.52"/>
  </r>
  <r>
    <x v="0"/>
    <s v="Longwood"/>
    <x v="2"/>
    <n v="26"/>
    <n v="84.42"/>
    <n v="10"/>
    <n v="205.5"/>
    <n v="2194.92"/>
  </r>
  <r>
    <x v="0"/>
    <s v="Pelham Bay"/>
    <x v="2"/>
    <n v="1"/>
    <n v="82.67"/>
    <n v="82.67"/>
    <n v="82.67"/>
    <n v="82.67"/>
  </r>
  <r>
    <x v="0"/>
    <s v="Edenwald"/>
    <x v="2"/>
    <n v="22"/>
    <n v="82.25"/>
    <n v="48.7"/>
    <n v="125.37"/>
    <n v="1809.5"/>
  </r>
  <r>
    <x v="0"/>
    <s v="Belmont"/>
    <x v="2"/>
    <n v="9"/>
    <n v="81.13"/>
    <n v="43.8"/>
    <n v="138.27000000000001"/>
    <n v="730.17"/>
  </r>
  <r>
    <x v="0"/>
    <s v="Mount Hope"/>
    <x v="2"/>
    <n v="29"/>
    <n v="79.430000000000007"/>
    <n v="23.73"/>
    <n v="193.8"/>
    <n v="2303.4700000000003"/>
  </r>
  <r>
    <x v="0"/>
    <s v="Williamsbridge"/>
    <x v="2"/>
    <n v="14"/>
    <n v="77"/>
    <n v="43.51"/>
    <n v="264.67"/>
    <n v="1078"/>
  </r>
  <r>
    <x v="0"/>
    <s v="Fordham"/>
    <x v="2"/>
    <n v="29"/>
    <n v="73.760000000000005"/>
    <n v="40.270000000000003"/>
    <n v="247.8"/>
    <n v="2139.04"/>
  </r>
  <r>
    <x v="0"/>
    <s v="Norwood"/>
    <x v="2"/>
    <n v="18"/>
    <n v="71.88"/>
    <n v="13.27"/>
    <n v="152.97999999999999"/>
    <n v="1293.8399999999999"/>
  </r>
  <r>
    <x v="0"/>
    <s v="Woodlawn"/>
    <x v="2"/>
    <n v="2"/>
    <n v="70.42"/>
    <n v="69.81"/>
    <n v="71.03"/>
    <n v="140.84"/>
  </r>
  <r>
    <x v="0"/>
    <s v="Mount Eden"/>
    <x v="2"/>
    <n v="2"/>
    <n v="69.25"/>
    <n v="48.86"/>
    <n v="89.63"/>
    <n v="138.5"/>
  </r>
  <r>
    <x v="0"/>
    <s v="Kingsbridge"/>
    <x v="2"/>
    <n v="15"/>
    <n v="69.08"/>
    <n v="29.17"/>
    <n v="183"/>
    <n v="1036.2"/>
  </r>
  <r>
    <x v="0"/>
    <s v="Hunts Point"/>
    <x v="2"/>
    <n v="17"/>
    <n v="62.76"/>
    <n v="35.69"/>
    <n v="143"/>
    <n v="1066.92"/>
  </r>
  <r>
    <x v="0"/>
    <s v="Olinville"/>
    <x v="2"/>
    <n v="4"/>
    <n v="60.8"/>
    <n v="59"/>
    <n v="66.069999999999993"/>
    <n v="243.2"/>
  </r>
  <r>
    <x v="0"/>
    <s v="Westchester Square"/>
    <x v="2"/>
    <n v="1"/>
    <n v="59"/>
    <n v="59"/>
    <n v="59"/>
    <n v="59"/>
  </r>
  <r>
    <x v="0"/>
    <s v="Highbridge"/>
    <x v="2"/>
    <n v="9"/>
    <n v="58.02"/>
    <n v="32.94"/>
    <n v="94.76"/>
    <n v="522.18000000000006"/>
  </r>
  <r>
    <x v="0"/>
    <s v="Bronxdale"/>
    <x v="2"/>
    <n v="10"/>
    <n v="57.75"/>
    <n v="28.3"/>
    <n v="88.49"/>
    <n v="577.5"/>
  </r>
  <r>
    <x v="0"/>
    <s v="Co-op City"/>
    <x v="2"/>
    <n v="3"/>
    <n v="52.23"/>
    <n v="39.47"/>
    <n v="70.7"/>
    <n v="156.69"/>
  </r>
  <r>
    <x v="0"/>
    <s v="University Heights"/>
    <x v="2"/>
    <n v="2"/>
    <n v="40.79"/>
    <n v="40.43"/>
    <n v="41.15"/>
    <n v="81.58"/>
  </r>
  <r>
    <x v="1"/>
    <s v="Columbia St"/>
    <x v="2"/>
    <n v="2"/>
    <n v="439.5"/>
    <n v="331"/>
    <n v="548"/>
    <n v="879"/>
  </r>
  <r>
    <x v="1"/>
    <s v="Cobble Hill"/>
    <x v="2"/>
    <n v="4"/>
    <n v="337.84"/>
    <n v="186.21"/>
    <n v="462"/>
    <n v="1351.36"/>
  </r>
  <r>
    <x v="1"/>
    <s v="Carroll Gardens"/>
    <x v="2"/>
    <n v="24"/>
    <n v="275.83999999999997"/>
    <n v="88.96"/>
    <n v="643.05999999999995"/>
    <n v="6620.16"/>
  </r>
  <r>
    <x v="1"/>
    <s v="Park Slope"/>
    <x v="2"/>
    <n v="52"/>
    <n v="247.58"/>
    <n v="55.41"/>
    <n v="770.5"/>
    <n v="12874.16"/>
  </r>
  <r>
    <x v="1"/>
    <s v="Boerum Hill"/>
    <x v="2"/>
    <n v="14"/>
    <n v="246.72"/>
    <n v="1"/>
    <n v="555"/>
    <n v="3454.08"/>
  </r>
  <r>
    <x v="1"/>
    <s v="Greenpoint"/>
    <x v="2"/>
    <n v="64"/>
    <n v="238.21"/>
    <n v="8"/>
    <n v="992"/>
    <n v="15245.44"/>
  </r>
  <r>
    <x v="1"/>
    <s v="Downtown Brooklyn"/>
    <x v="2"/>
    <n v="20"/>
    <n v="236.85"/>
    <n v="82.49"/>
    <n v="414"/>
    <n v="4737"/>
  </r>
  <r>
    <x v="1"/>
    <s v="Prospect Heights"/>
    <x v="2"/>
    <n v="26"/>
    <n v="235.97"/>
    <n v="64.56"/>
    <n v="748.51"/>
    <n v="6135.22"/>
  </r>
  <r>
    <x v="1"/>
    <s v="Bath Beach"/>
    <x v="2"/>
    <n v="9"/>
    <n v="222.46"/>
    <n v="44.76"/>
    <n v="484.5"/>
    <n v="2002.14"/>
  </r>
  <r>
    <x v="1"/>
    <s v="Windsor Terrace"/>
    <x v="2"/>
    <n v="18"/>
    <n v="216.78"/>
    <n v="72.7"/>
    <n v="929.76"/>
    <n v="3902.04"/>
  </r>
  <r>
    <x v="1"/>
    <s v="Gowanus"/>
    <x v="2"/>
    <n v="28"/>
    <n v="199.54"/>
    <n v="44.91"/>
    <n v="606.77"/>
    <n v="5587.12"/>
  </r>
  <r>
    <x v="1"/>
    <s v="Mill Basin"/>
    <x v="2"/>
    <n v="5"/>
    <n v="178.55"/>
    <n v="110.91"/>
    <n v="264.97000000000003"/>
    <n v="892.75"/>
  </r>
  <r>
    <x v="1"/>
    <s v="Sea Gate"/>
    <x v="2"/>
    <n v="3"/>
    <n v="176.05"/>
    <n v="171.33"/>
    <n v="178.5"/>
    <n v="528.15000000000009"/>
  </r>
  <r>
    <x v="1"/>
    <s v="Fort Greene"/>
    <x v="2"/>
    <n v="42"/>
    <n v="171.5"/>
    <n v="50.88"/>
    <n v="850.25"/>
    <n v="7203"/>
  </r>
  <r>
    <x v="1"/>
    <s v="Williamsburg"/>
    <x v="2"/>
    <n v="357"/>
    <n v="171.36"/>
    <n v="1"/>
    <n v="951"/>
    <n v="61175.520000000004"/>
  </r>
  <r>
    <x v="1"/>
    <s v="Red Hook"/>
    <x v="2"/>
    <n v="6"/>
    <n v="170.92"/>
    <n v="80.2"/>
    <n v="270.33"/>
    <n v="1025.52"/>
  </r>
  <r>
    <x v="1"/>
    <s v="Brownsville"/>
    <x v="2"/>
    <n v="44"/>
    <n v="169.51"/>
    <n v="1"/>
    <n v="788"/>
    <n v="7458.44"/>
  </r>
  <r>
    <x v="1"/>
    <s v="Brooklyn Heights"/>
    <x v="2"/>
    <n v="4"/>
    <n v="165.92"/>
    <n v="77.430000000000007"/>
    <n v="325.02999999999997"/>
    <n v="663.68"/>
  </r>
  <r>
    <x v="1"/>
    <s v="Bergen Beach"/>
    <x v="2"/>
    <n v="15"/>
    <n v="163.32"/>
    <n v="17.7"/>
    <n v="531"/>
    <n v="2449.7999999999997"/>
  </r>
  <r>
    <x v="1"/>
    <s v="Canarsie"/>
    <x v="2"/>
    <n v="96"/>
    <n v="158.41"/>
    <n v="35.950000000000003"/>
    <n v="385.15"/>
    <n v="15207.36"/>
  </r>
  <r>
    <x v="1"/>
    <s v="South Slope"/>
    <x v="2"/>
    <n v="18"/>
    <n v="151.99"/>
    <n v="46.79"/>
    <n v="409"/>
    <n v="2735.82"/>
  </r>
  <r>
    <x v="1"/>
    <s v="Vinegar Hill"/>
    <x v="2"/>
    <n v="2"/>
    <n v="150.80000000000001"/>
    <n v="84.77"/>
    <n v="216.82"/>
    <n v="301.60000000000002"/>
  </r>
  <r>
    <x v="1"/>
    <s v="Clinton Hill"/>
    <x v="2"/>
    <n v="60"/>
    <n v="149.13999999999999"/>
    <n v="20.49"/>
    <n v="894.57"/>
    <n v="8948.4"/>
  </r>
  <r>
    <x v="1"/>
    <s v="Flatbush"/>
    <x v="2"/>
    <n v="133"/>
    <n v="148.09"/>
    <n v="35.119999999999997"/>
    <n v="718.91"/>
    <n v="19695.97"/>
  </r>
  <r>
    <x v="1"/>
    <s v="Fort Hamilton"/>
    <x v="2"/>
    <n v="12"/>
    <n v="139.85"/>
    <n v="54.51"/>
    <n v="285"/>
    <n v="1678.1999999999998"/>
  </r>
  <r>
    <x v="1"/>
    <s v="East New York"/>
    <x v="2"/>
    <n v="125"/>
    <n v="138.88"/>
    <n v="1"/>
    <n v="741"/>
    <n v="17360"/>
  </r>
  <r>
    <x v="1"/>
    <s v="Dyker Heights"/>
    <x v="2"/>
    <n v="7"/>
    <n v="138.78"/>
    <n v="62.67"/>
    <n v="280.05"/>
    <n v="971.46"/>
  </r>
  <r>
    <x v="1"/>
    <s v="Gravesend"/>
    <x v="2"/>
    <n v="21"/>
    <n v="135.55000000000001"/>
    <n v="49.8"/>
    <n v="553.47"/>
    <n v="2846.55"/>
  </r>
  <r>
    <x v="1"/>
    <s v="Crown Heights"/>
    <x v="2"/>
    <n v="277"/>
    <n v="132.61000000000001"/>
    <n v="5"/>
    <n v="742"/>
    <n v="36732.97"/>
  </r>
  <r>
    <x v="1"/>
    <s v="Sheepshead Bay"/>
    <x v="2"/>
    <n v="35"/>
    <n v="131.44"/>
    <n v="40.93"/>
    <n v="663.73"/>
    <n v="4600.3999999999996"/>
  </r>
  <r>
    <x v="1"/>
    <s v="Prospect-Lefferts Gardens"/>
    <x v="2"/>
    <n v="82"/>
    <n v="128.36000000000001"/>
    <n v="51.83"/>
    <n v="373.27"/>
    <n v="10525.52"/>
  </r>
  <r>
    <x v="1"/>
    <s v="Midwood"/>
    <x v="2"/>
    <n v="19"/>
    <n v="127.94"/>
    <n v="32.26"/>
    <n v="368.5"/>
    <n v="2430.86"/>
  </r>
  <r>
    <x v="1"/>
    <s v="Sunset Park"/>
    <x v="2"/>
    <n v="105"/>
    <n v="125.05"/>
    <n v="1"/>
    <n v="972.67"/>
    <n v="13130.25"/>
  </r>
  <r>
    <x v="1"/>
    <s v="Bedford-Stuyvesant"/>
    <x v="2"/>
    <n v="841"/>
    <n v="122"/>
    <n v="1"/>
    <n v="734"/>
    <n v="102602"/>
  </r>
  <r>
    <x v="1"/>
    <s v="East Flatbush"/>
    <x v="2"/>
    <n v="237"/>
    <n v="121.11"/>
    <n v="1"/>
    <n v="695"/>
    <n v="28703.07"/>
  </r>
  <r>
    <x v="1"/>
    <s v="Bushwick"/>
    <x v="2"/>
    <n v="403"/>
    <n v="116.28"/>
    <n v="1"/>
    <n v="997.07"/>
    <n v="46860.840000000004"/>
  </r>
  <r>
    <x v="1"/>
    <s v="DUMBO"/>
    <x v="2"/>
    <n v="3"/>
    <n v="110.89"/>
    <n v="1"/>
    <n v="255.63"/>
    <n v="332.67"/>
  </r>
  <r>
    <x v="1"/>
    <s v="Kensington"/>
    <x v="2"/>
    <n v="27"/>
    <n v="108.97"/>
    <n v="44.28"/>
    <n v="759"/>
    <n v="2942.19"/>
  </r>
  <r>
    <x v="1"/>
    <s v="Borough Park"/>
    <x v="2"/>
    <n v="25"/>
    <n v="107.1"/>
    <n v="47.71"/>
    <n v="409"/>
    <n v="2677.5"/>
  </r>
  <r>
    <x v="1"/>
    <s v="Bensonhurst"/>
    <x v="2"/>
    <n v="14"/>
    <n v="104.88"/>
    <n v="49.11"/>
    <n v="257"/>
    <n v="1468.32"/>
  </r>
  <r>
    <x v="1"/>
    <s v="Flatlands"/>
    <x v="2"/>
    <n v="49"/>
    <n v="104.18"/>
    <n v="23.51"/>
    <n v="305.13"/>
    <n v="5104.8200000000006"/>
  </r>
  <r>
    <x v="1"/>
    <s v="Manhattan Beach"/>
    <x v="2"/>
    <n v="3"/>
    <n v="103.67"/>
    <n v="55.98"/>
    <n v="186"/>
    <n v="311.01"/>
  </r>
  <r>
    <x v="1"/>
    <s v="Bay Ridge"/>
    <x v="2"/>
    <n v="52"/>
    <n v="93.01"/>
    <n v="1"/>
    <n v="499.5"/>
    <n v="4836.5200000000004"/>
  </r>
  <r>
    <x v="1"/>
    <s v="Brighton Beach"/>
    <x v="2"/>
    <n v="21"/>
    <n v="92.54"/>
    <n v="39.83"/>
    <n v="263.43"/>
    <n v="1943.3400000000001"/>
  </r>
  <r>
    <x v="1"/>
    <s v="Gerritsen Beach"/>
    <x v="2"/>
    <n v="5"/>
    <n v="88.9"/>
    <n v="25.19"/>
    <n v="318"/>
    <n v="444.5"/>
  </r>
  <r>
    <x v="1"/>
    <s v="Cypress Hills"/>
    <x v="2"/>
    <n v="97"/>
    <n v="87.18"/>
    <n v="16.96"/>
    <n v="683.15"/>
    <n v="8456.4600000000009"/>
  </r>
  <r>
    <x v="1"/>
    <s v="Coney Island"/>
    <x v="2"/>
    <n v="13"/>
    <n v="86.47"/>
    <n v="49.05"/>
    <n v="354"/>
    <n v="1124.1099999999999"/>
  </r>
  <r>
    <x v="1"/>
    <s v="Navy Yard"/>
    <x v="2"/>
    <n v="1"/>
    <n v="83.9"/>
    <n v="83.9"/>
    <n v="83.9"/>
    <n v="83.9"/>
  </r>
  <r>
    <x v="2"/>
    <s v="SoHo"/>
    <x v="2"/>
    <n v="40"/>
    <n v="401.56"/>
    <n v="1"/>
    <n v="922"/>
    <n v="16062.4"/>
  </r>
  <r>
    <x v="2"/>
    <s v="Tribeca"/>
    <x v="2"/>
    <n v="19"/>
    <n v="359.96"/>
    <n v="1"/>
    <n v="619"/>
    <n v="6839.24"/>
  </r>
  <r>
    <x v="2"/>
    <s v="Theater District"/>
    <x v="2"/>
    <n v="151"/>
    <n v="354.76"/>
    <n v="1"/>
    <n v="970.2"/>
    <n v="53568.76"/>
  </r>
  <r>
    <x v="2"/>
    <s v="Greenwich Village"/>
    <x v="2"/>
    <n v="11"/>
    <n v="354.3"/>
    <n v="28.14"/>
    <n v="589"/>
    <n v="3897.3"/>
  </r>
  <r>
    <x v="2"/>
    <s v="Midtown"/>
    <x v="2"/>
    <n v="435"/>
    <n v="347.11"/>
    <n v="1"/>
    <n v="976"/>
    <n v="150992.85"/>
  </r>
  <r>
    <x v="2"/>
    <s v="Financial District"/>
    <x v="2"/>
    <n v="100"/>
    <n v="300.06"/>
    <n v="1"/>
    <n v="911.5"/>
    <n v="30006"/>
  </r>
  <r>
    <x v="2"/>
    <s v="NoHo"/>
    <x v="2"/>
    <n v="3"/>
    <n v="285.5"/>
    <n v="251.5"/>
    <n v="325.5"/>
    <n v="856.5"/>
  </r>
  <r>
    <x v="2"/>
    <s v="Little Italy"/>
    <x v="2"/>
    <n v="20"/>
    <n v="280.33"/>
    <n v="1"/>
    <n v="551"/>
    <n v="5606.5999999999995"/>
  </r>
  <r>
    <x v="2"/>
    <s v="Murray Hill"/>
    <x v="2"/>
    <n v="60"/>
    <n v="263.19"/>
    <n v="1"/>
    <n v="752.13"/>
    <n v="15791.4"/>
  </r>
  <r>
    <x v="2"/>
    <s v="Flatiron District"/>
    <x v="2"/>
    <n v="24"/>
    <n v="256.58"/>
    <n v="2"/>
    <n v="699"/>
    <n v="6157.92"/>
  </r>
  <r>
    <x v="2"/>
    <s v="West Village"/>
    <x v="2"/>
    <n v="16"/>
    <n v="247.19"/>
    <n v="2"/>
    <n v="689.33"/>
    <n v="3955.04"/>
  </r>
  <r>
    <x v="2"/>
    <s v="Nolita"/>
    <x v="2"/>
    <n v="9"/>
    <n v="243.68"/>
    <n v="17.510000000000002"/>
    <n v="408"/>
    <n v="2193.12"/>
  </r>
  <r>
    <x v="2"/>
    <s v="Stuyvesant Town"/>
    <x v="2"/>
    <n v="6"/>
    <n v="239.99"/>
    <n v="54.4"/>
    <n v="932.93"/>
    <n v="1439.94"/>
  </r>
  <r>
    <x v="2"/>
    <s v="Chelsea"/>
    <x v="2"/>
    <n v="134"/>
    <n v="234.26"/>
    <n v="2"/>
    <n v="983.33"/>
    <n v="31390.84"/>
  </r>
  <r>
    <x v="2"/>
    <s v="Hell's Kitchen"/>
    <x v="2"/>
    <n v="255"/>
    <n v="233.8"/>
    <n v="1"/>
    <n v="965"/>
    <n v="59619"/>
  </r>
  <r>
    <x v="2"/>
    <s v="Chinatown"/>
    <x v="2"/>
    <n v="80"/>
    <n v="224.95"/>
    <n v="9"/>
    <n v="799.03"/>
    <n v="17996"/>
  </r>
  <r>
    <x v="2"/>
    <s v="Kips Bay"/>
    <x v="2"/>
    <n v="26"/>
    <n v="215.71"/>
    <n v="1"/>
    <n v="448"/>
    <n v="5608.46"/>
  </r>
  <r>
    <x v="2"/>
    <s v="Lower East Side"/>
    <x v="2"/>
    <n v="77"/>
    <n v="202.68"/>
    <n v="3"/>
    <n v="769"/>
    <n v="15606.36"/>
  </r>
  <r>
    <x v="2"/>
    <s v="East Village"/>
    <x v="2"/>
    <n v="100"/>
    <n v="179.51"/>
    <n v="1"/>
    <n v="859.36"/>
    <n v="17951"/>
  </r>
  <r>
    <x v="2"/>
    <s v="Upper East Side"/>
    <x v="2"/>
    <n v="83"/>
    <n v="169.51"/>
    <n v="1"/>
    <n v="999"/>
    <n v="14069.33"/>
  </r>
  <r>
    <x v="2"/>
    <s v="Upper West Side"/>
    <x v="2"/>
    <n v="262"/>
    <n v="168.26"/>
    <n v="1"/>
    <n v="855"/>
    <n v="44084.119999999995"/>
  </r>
  <r>
    <x v="2"/>
    <s v="Gramercy"/>
    <x v="2"/>
    <n v="35"/>
    <n v="158.61000000000001"/>
    <n v="1"/>
    <n v="856"/>
    <n v="5551.35"/>
  </r>
  <r>
    <x v="2"/>
    <s v="Roosevelt Island"/>
    <x v="2"/>
    <n v="11"/>
    <n v="141.97999999999999"/>
    <n v="69.25"/>
    <n v="281.02999999999997"/>
    <n v="1561.78"/>
  </r>
  <r>
    <x v="2"/>
    <s v="Marble Hill"/>
    <x v="2"/>
    <n v="6"/>
    <n v="133.97"/>
    <n v="48.17"/>
    <n v="284"/>
    <n v="803.81999999999994"/>
  </r>
  <r>
    <x v="2"/>
    <s v="East Harlem"/>
    <x v="2"/>
    <n v="175"/>
    <n v="127.93"/>
    <n v="12.02"/>
    <n v="719.03"/>
    <n v="22387.75"/>
  </r>
  <r>
    <x v="2"/>
    <s v="Battery Park City"/>
    <x v="2"/>
    <n v="1"/>
    <n v="122.8"/>
    <n v="122.8"/>
    <n v="122.8"/>
    <n v="122.8"/>
  </r>
  <r>
    <x v="2"/>
    <s v="Harlem"/>
    <x v="2"/>
    <n v="618"/>
    <n v="119.72"/>
    <n v="1"/>
    <n v="993"/>
    <n v="73986.960000000006"/>
  </r>
  <r>
    <x v="2"/>
    <s v="Morningside Heights"/>
    <x v="2"/>
    <n v="31"/>
    <n v="98.06"/>
    <n v="1"/>
    <n v="262"/>
    <n v="3039.86"/>
  </r>
  <r>
    <x v="2"/>
    <s v="Washington Heights"/>
    <x v="2"/>
    <n v="170"/>
    <n v="85.23"/>
    <n v="40.04"/>
    <n v="299.60000000000002"/>
    <n v="14489.1"/>
  </r>
  <r>
    <x v="2"/>
    <s v="Two Bridges"/>
    <x v="2"/>
    <n v="3"/>
    <n v="77.64"/>
    <n v="36.21"/>
    <n v="141.38"/>
    <n v="232.92000000000002"/>
  </r>
  <r>
    <x v="2"/>
    <s v="Inwood"/>
    <x v="2"/>
    <n v="43"/>
    <n v="62.33"/>
    <n v="37.630000000000003"/>
    <n v="278.39999999999998"/>
    <n v="2680.19"/>
  </r>
  <r>
    <x v="3"/>
    <s v="Middle Village"/>
    <x v="2"/>
    <n v="4"/>
    <n v="331.72"/>
    <n v="92.86"/>
    <n v="798"/>
    <n v="1326.88"/>
  </r>
  <r>
    <x v="3"/>
    <s v="South Ozone Park"/>
    <x v="2"/>
    <n v="36"/>
    <n v="238.68"/>
    <n v="35.4"/>
    <n v="584.28"/>
    <n v="8592.48"/>
  </r>
  <r>
    <x v="3"/>
    <s v="Hollis Hills"/>
    <x v="2"/>
    <n v="1"/>
    <n v="217.3"/>
    <n v="217.3"/>
    <n v="217.3"/>
    <n v="217.3"/>
  </r>
  <r>
    <x v="3"/>
    <s v="Douglaston"/>
    <x v="2"/>
    <n v="2"/>
    <n v="193.04"/>
    <n v="68.069999999999993"/>
    <n v="318"/>
    <n v="386.08"/>
  </r>
  <r>
    <x v="3"/>
    <s v="Rockaway Beach"/>
    <x v="2"/>
    <n v="15"/>
    <n v="184.87"/>
    <n v="46.82"/>
    <n v="571"/>
    <n v="2773.05"/>
  </r>
  <r>
    <x v="3"/>
    <s v="Cambria Heights"/>
    <x v="2"/>
    <n v="24"/>
    <n v="171.59"/>
    <n v="49.8"/>
    <n v="405.6"/>
    <n v="4118.16"/>
  </r>
  <r>
    <x v="3"/>
    <s v="Neponsit"/>
    <x v="2"/>
    <n v="1"/>
    <n v="163.26"/>
    <n v="163.26"/>
    <n v="163.26"/>
    <n v="163.26"/>
  </r>
  <r>
    <x v="3"/>
    <s v="Bayside"/>
    <x v="2"/>
    <n v="18"/>
    <n v="157.21"/>
    <n v="51.88"/>
    <n v="327.52"/>
    <n v="2829.78"/>
  </r>
  <r>
    <x v="3"/>
    <s v="Howard Beach"/>
    <x v="2"/>
    <n v="22"/>
    <n v="155.31"/>
    <n v="43.8"/>
    <n v="860.09"/>
    <n v="3416.82"/>
  </r>
  <r>
    <x v="3"/>
    <s v="Breezy Point"/>
    <x v="2"/>
    <n v="5"/>
    <n v="154.75"/>
    <n v="134.59"/>
    <n v="169.01"/>
    <n v="773.75"/>
  </r>
  <r>
    <x v="3"/>
    <s v="Queens Village"/>
    <x v="2"/>
    <n v="25"/>
    <n v="154.36000000000001"/>
    <n v="24.89"/>
    <n v="515"/>
    <n v="3859.0000000000005"/>
  </r>
  <r>
    <x v="3"/>
    <s v="Fresh Meadows"/>
    <x v="2"/>
    <n v="22"/>
    <n v="150.94"/>
    <n v="1"/>
    <n v="673"/>
    <n v="3320.68"/>
  </r>
  <r>
    <x v="3"/>
    <s v="Rosedale"/>
    <x v="2"/>
    <n v="36"/>
    <n v="148.82"/>
    <n v="42.31"/>
    <n v="388"/>
    <n v="5357.5199999999995"/>
  </r>
  <r>
    <x v="3"/>
    <s v="Arverne"/>
    <x v="2"/>
    <n v="27"/>
    <n v="146.16999999999999"/>
    <n v="1"/>
    <n v="456.5"/>
    <n v="3946.5899999999997"/>
  </r>
  <r>
    <x v="3"/>
    <s v="Bayswater"/>
    <x v="2"/>
    <n v="7"/>
    <n v="144.22999999999999"/>
    <n v="49.05"/>
    <n v="512.96"/>
    <n v="1009.6099999999999"/>
  </r>
  <r>
    <x v="3"/>
    <s v="Springfield Gardens"/>
    <x v="2"/>
    <n v="63"/>
    <n v="143.08000000000001"/>
    <n v="37.630000000000003"/>
    <n v="365.5"/>
    <n v="9014.0400000000009"/>
  </r>
  <r>
    <x v="3"/>
    <s v="Long Island City"/>
    <x v="2"/>
    <n v="117"/>
    <n v="142.24"/>
    <n v="10"/>
    <n v="526.73"/>
    <n v="16642.080000000002"/>
  </r>
  <r>
    <x v="3"/>
    <s v="College Point"/>
    <x v="2"/>
    <n v="17"/>
    <n v="138.44999999999999"/>
    <n v="40.270000000000003"/>
    <n v="432"/>
    <n v="2353.6499999999996"/>
  </r>
  <r>
    <x v="3"/>
    <s v="Laurelton"/>
    <x v="2"/>
    <n v="30"/>
    <n v="137.96"/>
    <n v="38.049999999999997"/>
    <n v="512"/>
    <n v="4138.8"/>
  </r>
  <r>
    <x v="3"/>
    <s v="Whitestone"/>
    <x v="2"/>
    <n v="8"/>
    <n v="134.72"/>
    <n v="74.06"/>
    <n v="335.37"/>
    <n v="1077.76"/>
  </r>
  <r>
    <x v="3"/>
    <s v="East Elmhurst"/>
    <x v="2"/>
    <n v="82"/>
    <n v="134.55000000000001"/>
    <n v="38.97"/>
    <n v="431.43"/>
    <n v="11033.1"/>
  </r>
  <r>
    <x v="3"/>
    <s v="Ditmars Steinway"/>
    <x v="2"/>
    <n v="74"/>
    <n v="133.83000000000001"/>
    <n v="33.299999999999997"/>
    <n v="589.66999999999996"/>
    <n v="9903.42"/>
  </r>
  <r>
    <x v="3"/>
    <s v="St. Albans"/>
    <x v="2"/>
    <n v="66"/>
    <n v="132.38"/>
    <n v="28.03"/>
    <n v="548"/>
    <n v="8737.08"/>
  </r>
  <r>
    <x v="3"/>
    <s v="Jamaica"/>
    <x v="2"/>
    <n v="138"/>
    <n v="126.28"/>
    <n v="38.020000000000003"/>
    <n v="574.5"/>
    <n v="17426.64"/>
  </r>
  <r>
    <x v="3"/>
    <s v="Kew Gardens Hills"/>
    <x v="2"/>
    <n v="14"/>
    <n v="124.82"/>
    <n v="54.26"/>
    <n v="774.33"/>
    <n v="1747.48"/>
  </r>
  <r>
    <x v="3"/>
    <s v="Forest Hills"/>
    <x v="2"/>
    <n v="27"/>
    <n v="122.75"/>
    <n v="45.37"/>
    <n v="443.92"/>
    <n v="3314.25"/>
  </r>
  <r>
    <x v="3"/>
    <s v="Corona"/>
    <x v="2"/>
    <n v="21"/>
    <n v="121.66"/>
    <n v="17.18"/>
    <n v="409.68"/>
    <n v="2554.86"/>
  </r>
  <r>
    <x v="3"/>
    <s v="Richmond Hill"/>
    <x v="2"/>
    <n v="54"/>
    <n v="119.4"/>
    <n v="34.299999999999997"/>
    <n v="685"/>
    <n v="6447.6"/>
  </r>
  <r>
    <x v="3"/>
    <s v="Jamaica Hills"/>
    <x v="2"/>
    <n v="6"/>
    <n v="116.28"/>
    <n v="76.709999999999994"/>
    <n v="165.37"/>
    <n v="697.68000000000006"/>
  </r>
  <r>
    <x v="3"/>
    <s v="Astoria"/>
    <x v="2"/>
    <n v="186"/>
    <n v="116.25"/>
    <n v="24.63"/>
    <n v="595"/>
    <n v="21622.5"/>
  </r>
  <r>
    <x v="3"/>
    <s v="Bellerose"/>
    <x v="2"/>
    <n v="2"/>
    <n v="110.83"/>
    <n v="97.67"/>
    <n v="123.98"/>
    <n v="221.66"/>
  </r>
  <r>
    <x v="3"/>
    <s v="Sunnyside"/>
    <x v="2"/>
    <n v="95"/>
    <n v="109.14"/>
    <n v="1"/>
    <n v="446"/>
    <n v="10368.299999999999"/>
  </r>
  <r>
    <x v="3"/>
    <s v="Jackson Heights"/>
    <x v="2"/>
    <n v="69"/>
    <n v="107.65"/>
    <n v="19.72"/>
    <n v="415.27"/>
    <n v="7427.85"/>
  </r>
  <r>
    <x v="3"/>
    <s v="Edgemere"/>
    <x v="2"/>
    <n v="4"/>
    <n v="107.57"/>
    <n v="82.59"/>
    <n v="159"/>
    <n v="430.28"/>
  </r>
  <r>
    <x v="3"/>
    <s v="Maspeth"/>
    <x v="2"/>
    <n v="32"/>
    <n v="106.23"/>
    <n v="45.93"/>
    <n v="385.25"/>
    <n v="3399.36"/>
  </r>
  <r>
    <x v="3"/>
    <s v="Rego Park"/>
    <x v="2"/>
    <n v="26"/>
    <n v="103.85"/>
    <n v="43.17"/>
    <n v="269"/>
    <n v="2700.1"/>
  </r>
  <r>
    <x v="3"/>
    <s v="Flushing"/>
    <x v="2"/>
    <n v="168"/>
    <n v="102.92"/>
    <n v="41.81"/>
    <n v="512.39"/>
    <n v="17290.560000000001"/>
  </r>
  <r>
    <x v="3"/>
    <s v="Bay Terrace"/>
    <x v="2"/>
    <n v="3"/>
    <n v="102.89"/>
    <n v="34.840000000000003"/>
    <n v="239"/>
    <n v="308.67"/>
  </r>
  <r>
    <x v="3"/>
    <s v="Ridgewood"/>
    <x v="2"/>
    <n v="108"/>
    <n v="102.71"/>
    <n v="48.27"/>
    <n v="491"/>
    <n v="11092.679999999998"/>
  </r>
  <r>
    <x v="3"/>
    <s v="Ozone Park"/>
    <x v="2"/>
    <n v="43"/>
    <n v="97.77"/>
    <n v="1"/>
    <n v="685"/>
    <n v="4204.1099999999997"/>
  </r>
  <r>
    <x v="3"/>
    <s v="Hollis"/>
    <x v="2"/>
    <n v="7"/>
    <n v="97.18"/>
    <n v="35.53"/>
    <n v="234"/>
    <n v="680.26"/>
  </r>
  <r>
    <x v="3"/>
    <s v="Little Neck"/>
    <x v="2"/>
    <n v="4"/>
    <n v="94.25"/>
    <n v="86"/>
    <n v="97"/>
    <n v="377"/>
  </r>
  <r>
    <x v="3"/>
    <s v="Jamaica Estates"/>
    <x v="2"/>
    <n v="19"/>
    <n v="91.08"/>
    <n v="40.549999999999997"/>
    <n v="336.28"/>
    <n v="1730.52"/>
  </r>
  <r>
    <x v="3"/>
    <s v="Woodhaven"/>
    <x v="2"/>
    <n v="45"/>
    <n v="90.36"/>
    <n v="28.28"/>
    <n v="285"/>
    <n v="4066.2"/>
  </r>
  <r>
    <x v="3"/>
    <s v="Kew Gardens"/>
    <x v="2"/>
    <n v="14"/>
    <n v="89.68"/>
    <n v="42.63"/>
    <n v="214"/>
    <n v="1255.52"/>
  </r>
  <r>
    <x v="3"/>
    <s v="Glendale"/>
    <x v="2"/>
    <n v="30"/>
    <n v="86.35"/>
    <n v="49.56"/>
    <n v="183"/>
    <n v="2590.5"/>
  </r>
  <r>
    <x v="3"/>
    <s v="Briarwood"/>
    <x v="2"/>
    <n v="12"/>
    <n v="86.09"/>
    <n v="44.34"/>
    <n v="224.25"/>
    <n v="1033.08"/>
  </r>
  <r>
    <x v="3"/>
    <s v="Woodside"/>
    <x v="2"/>
    <n v="138"/>
    <n v="81.67"/>
    <n v="25.6"/>
    <n v="560"/>
    <n v="11270.460000000001"/>
  </r>
  <r>
    <x v="3"/>
    <s v="Far Rockaway"/>
    <x v="2"/>
    <n v="23"/>
    <n v="76.63"/>
    <n v="44.18"/>
    <n v="332.6"/>
    <n v="1762.4899999999998"/>
  </r>
  <r>
    <x v="3"/>
    <s v="Elmhurst"/>
    <x v="2"/>
    <n v="131"/>
    <n v="73.87"/>
    <n v="39.83"/>
    <n v="349"/>
    <n v="9676.9700000000012"/>
  </r>
  <r>
    <x v="4"/>
    <s v="Howland Hook"/>
    <x v="2"/>
    <n v="1"/>
    <n v="394.93"/>
    <n v="394.93"/>
    <n v="394.93"/>
    <n v="394.93"/>
  </r>
  <r>
    <x v="4"/>
    <s v="Prince's Bay"/>
    <x v="2"/>
    <n v="2"/>
    <n v="391.46"/>
    <n v="297.92"/>
    <n v="485"/>
    <n v="782.92"/>
  </r>
  <r>
    <x v="4"/>
    <s v="Arrochar"/>
    <x v="2"/>
    <n v="2"/>
    <n v="238.04"/>
    <n v="215"/>
    <n v="261.07"/>
    <n v="476.08"/>
  </r>
  <r>
    <x v="4"/>
    <s v="Eltingville"/>
    <x v="2"/>
    <n v="1"/>
    <n v="201.99"/>
    <n v="201.99"/>
    <n v="201.99"/>
    <n v="201.99"/>
  </r>
  <r>
    <x v="4"/>
    <s v="Bay Terrace, Staten Island"/>
    <x v="2"/>
    <n v="1"/>
    <n v="200"/>
    <n v="200"/>
    <n v="200"/>
    <n v="200"/>
  </r>
  <r>
    <x v="4"/>
    <s v="Randall Manor"/>
    <x v="2"/>
    <n v="12"/>
    <n v="186.74"/>
    <n v="46.3"/>
    <n v="642"/>
    <n v="2240.88"/>
  </r>
  <r>
    <x v="4"/>
    <s v="Westerleigh"/>
    <x v="2"/>
    <n v="2"/>
    <n v="180.83"/>
    <n v="114.16"/>
    <n v="247.5"/>
    <n v="361.66"/>
  </r>
  <r>
    <x v="4"/>
    <s v="Castleton Corners"/>
    <x v="2"/>
    <n v="2"/>
    <n v="173.4"/>
    <n v="49.8"/>
    <n v="297"/>
    <n v="346.8"/>
  </r>
  <r>
    <x v="4"/>
    <s v="Bull's Head"/>
    <x v="2"/>
    <n v="5"/>
    <n v="171.84"/>
    <n v="101.12"/>
    <n v="213.4"/>
    <n v="859.2"/>
  </r>
  <r>
    <x v="4"/>
    <s v="Tottenville"/>
    <x v="2"/>
    <n v="1"/>
    <n v="160"/>
    <n v="160"/>
    <n v="160"/>
    <n v="160"/>
  </r>
  <r>
    <x v="4"/>
    <s v="Great Kills"/>
    <x v="2"/>
    <n v="3"/>
    <n v="156.12"/>
    <n v="57.52"/>
    <n v="221.83"/>
    <n v="468.36"/>
  </r>
  <r>
    <x v="4"/>
    <s v="Grant City"/>
    <x v="2"/>
    <n v="2"/>
    <n v="144.38999999999999"/>
    <n v="112.77"/>
    <n v="176"/>
    <n v="288.77999999999997"/>
  </r>
  <r>
    <x v="4"/>
    <s v="Todt Hill"/>
    <x v="2"/>
    <n v="1"/>
    <n v="136.21"/>
    <n v="136.21"/>
    <n v="136.21"/>
    <n v="136.21"/>
  </r>
  <r>
    <x v="4"/>
    <s v="Port Richmond"/>
    <x v="2"/>
    <n v="5"/>
    <n v="132.84"/>
    <n v="37.06"/>
    <n v="337"/>
    <n v="664.2"/>
  </r>
  <r>
    <x v="4"/>
    <s v="Huguenot"/>
    <x v="2"/>
    <n v="1"/>
    <n v="126"/>
    <n v="126"/>
    <n v="126"/>
    <n v="126"/>
  </r>
  <r>
    <x v="4"/>
    <s v="Shore Acres"/>
    <x v="2"/>
    <n v="3"/>
    <n v="122.83"/>
    <n v="61.47"/>
    <n v="213"/>
    <n v="368.49"/>
  </r>
  <r>
    <x v="4"/>
    <s v="Clifton"/>
    <x v="2"/>
    <n v="9"/>
    <n v="120.64"/>
    <n v="37.79"/>
    <n v="357"/>
    <n v="1085.76"/>
  </r>
  <r>
    <x v="4"/>
    <s v="St. George"/>
    <x v="2"/>
    <n v="16"/>
    <n v="116.06"/>
    <n v="23.98"/>
    <n v="273.67"/>
    <n v="1856.96"/>
  </r>
  <r>
    <x v="4"/>
    <s v="New Dorp Beach"/>
    <x v="2"/>
    <n v="3"/>
    <n v="115.65"/>
    <n v="82.97"/>
    <n v="181"/>
    <n v="346.95000000000005"/>
  </r>
  <r>
    <x v="4"/>
    <s v="New Brighton"/>
    <x v="2"/>
    <n v="9"/>
    <n v="109.99"/>
    <n v="43.62"/>
    <n v="233.59"/>
    <n v="989.91"/>
  </r>
  <r>
    <x v="4"/>
    <s v="Stapleton"/>
    <x v="2"/>
    <n v="11"/>
    <n v="106.95"/>
    <n v="52.21"/>
    <n v="148.66999999999999"/>
    <n v="1176.45"/>
  </r>
  <r>
    <x v="4"/>
    <s v="Tompkinsville"/>
    <x v="2"/>
    <n v="23"/>
    <n v="104.51"/>
    <n v="1"/>
    <n v="317"/>
    <n v="2403.73"/>
  </r>
  <r>
    <x v="4"/>
    <s v="Mariners Harbor"/>
    <x v="2"/>
    <n v="14"/>
    <n v="97.99"/>
    <n v="47.97"/>
    <n v="227.39"/>
    <n v="1371.86"/>
  </r>
  <r>
    <x v="4"/>
    <s v="Graniteville"/>
    <x v="2"/>
    <n v="2"/>
    <n v="97.45"/>
    <n v="66.819999999999993"/>
    <n v="128.07"/>
    <n v="194.9"/>
  </r>
  <r>
    <x v="4"/>
    <s v="Rosebank"/>
    <x v="2"/>
    <n v="4"/>
    <n v="92.54"/>
    <n v="72.25"/>
    <n v="117.64"/>
    <n v="370.16"/>
  </r>
  <r>
    <x v="4"/>
    <s v="West Brighton"/>
    <x v="2"/>
    <n v="14"/>
    <n v="92.4"/>
    <n v="45.8"/>
    <n v="313.51"/>
    <n v="1293.6000000000001"/>
  </r>
  <r>
    <x v="4"/>
    <s v="South Beach"/>
    <x v="2"/>
    <n v="3"/>
    <n v="79.010000000000005"/>
    <n v="69.17"/>
    <n v="90.25"/>
    <n v="237.03000000000003"/>
  </r>
  <r>
    <x v="4"/>
    <s v="Emerson Hill"/>
    <x v="2"/>
    <n v="3"/>
    <n v="75.69"/>
    <n v="10.23"/>
    <n v="108.8"/>
    <n v="227.07"/>
  </r>
  <r>
    <x v="4"/>
    <s v="Concord"/>
    <x v="2"/>
    <n v="2"/>
    <n v="70.5"/>
    <n v="61.73"/>
    <n v="79.260000000000005"/>
    <n v="141"/>
  </r>
  <r>
    <x v="4"/>
    <s v="Woodrow"/>
    <x v="2"/>
    <n v="2"/>
    <n v="62.89"/>
    <n v="59.73"/>
    <n v="66.040000000000006"/>
    <n v="125.78"/>
  </r>
  <r>
    <x v="0"/>
    <s v="Kingsbridge"/>
    <x v="3"/>
    <n v="1"/>
    <n v="75.44"/>
    <n v="75.44"/>
    <n v="75.44"/>
    <n v="75.44"/>
  </r>
  <r>
    <x v="0"/>
    <s v="Port Morris"/>
    <x v="3"/>
    <n v="1"/>
    <n v="31.39"/>
    <n v="31.39"/>
    <n v="31.39"/>
    <n v="31.39"/>
  </r>
  <r>
    <x v="1"/>
    <s v="Bay Ridge"/>
    <x v="3"/>
    <n v="1"/>
    <n v="450"/>
    <n v="450"/>
    <n v="450"/>
    <n v="450"/>
  </r>
  <r>
    <x v="1"/>
    <s v="Greenpoint"/>
    <x v="3"/>
    <n v="1"/>
    <n v="307"/>
    <n v="307"/>
    <n v="307"/>
    <n v="307"/>
  </r>
  <r>
    <x v="1"/>
    <s v="Bergen Beach"/>
    <x v="3"/>
    <n v="1"/>
    <n v="294.27"/>
    <n v="294.27"/>
    <n v="294.27"/>
    <n v="294.27"/>
  </r>
  <r>
    <x v="1"/>
    <s v="East New York"/>
    <x v="3"/>
    <n v="3"/>
    <n v="218.56"/>
    <n v="69.14"/>
    <n v="485"/>
    <n v="655.68000000000006"/>
  </r>
  <r>
    <x v="1"/>
    <s v="Canarsie"/>
    <x v="3"/>
    <n v="2"/>
    <n v="217.75"/>
    <n v="151"/>
    <n v="284.5"/>
    <n v="435.5"/>
  </r>
  <r>
    <x v="1"/>
    <s v="Brownsville"/>
    <x v="3"/>
    <n v="1"/>
    <n v="216.67"/>
    <n v="216.67"/>
    <n v="216.67"/>
    <n v="216.67"/>
  </r>
  <r>
    <x v="1"/>
    <s v="Crown Heights"/>
    <x v="3"/>
    <n v="9"/>
    <n v="199.52"/>
    <n v="46.9"/>
    <n v="552"/>
    <n v="1795.68"/>
  </r>
  <r>
    <x v="1"/>
    <s v="East Flatbush"/>
    <x v="3"/>
    <n v="3"/>
    <n v="169.38"/>
    <n v="58.82"/>
    <n v="286"/>
    <n v="508.14"/>
  </r>
  <r>
    <x v="1"/>
    <s v="Flatlands"/>
    <x v="3"/>
    <n v="3"/>
    <n v="132.41999999999999"/>
    <n v="112.1"/>
    <n v="142.65"/>
    <n v="397.26"/>
  </r>
  <r>
    <x v="1"/>
    <s v="Prospect-Lefferts Gardens"/>
    <x v="3"/>
    <n v="2"/>
    <n v="121.24"/>
    <n v="110.62"/>
    <n v="131.86000000000001"/>
    <n v="242.48"/>
  </r>
  <r>
    <x v="1"/>
    <s v="Bedford-Stuyvesant"/>
    <x v="3"/>
    <n v="44"/>
    <n v="98.35"/>
    <n v="38.83"/>
    <n v="532.92999999999995"/>
    <n v="4327.3999999999996"/>
  </r>
  <r>
    <x v="1"/>
    <s v="Flatbush"/>
    <x v="3"/>
    <n v="2"/>
    <n v="75.52"/>
    <n v="56.07"/>
    <n v="94.96"/>
    <n v="151.04"/>
  </r>
  <r>
    <x v="1"/>
    <s v="Bushwick"/>
    <x v="3"/>
    <n v="15"/>
    <n v="66.48"/>
    <n v="37.17"/>
    <n v="387"/>
    <n v="997.2"/>
  </r>
  <r>
    <x v="1"/>
    <s v="Fort Hamilton"/>
    <x v="3"/>
    <n v="1"/>
    <n v="66.37"/>
    <n v="66.37"/>
    <n v="66.37"/>
    <n v="66.37"/>
  </r>
  <r>
    <x v="1"/>
    <s v="Williamsburg"/>
    <x v="3"/>
    <n v="6"/>
    <n v="56.31"/>
    <n v="45.37"/>
    <n v="82.3"/>
    <n v="337.86"/>
  </r>
  <r>
    <x v="2"/>
    <s v="East Village"/>
    <x v="3"/>
    <n v="1"/>
    <n v="500.83"/>
    <n v="500.83"/>
    <n v="500.83"/>
    <n v="500.83"/>
  </r>
  <r>
    <x v="2"/>
    <s v="Financial District"/>
    <x v="3"/>
    <n v="1"/>
    <n v="132.41"/>
    <n v="132.41"/>
    <n v="132.41"/>
    <n v="132.41"/>
  </r>
  <r>
    <x v="2"/>
    <s v="Harlem"/>
    <x v="3"/>
    <n v="11"/>
    <n v="124.62"/>
    <n v="1"/>
    <n v="774.33"/>
    <n v="1370.8200000000002"/>
  </r>
  <r>
    <x v="2"/>
    <s v="East Harlem"/>
    <x v="3"/>
    <n v="8"/>
    <n v="102.99"/>
    <n v="41.43"/>
    <n v="433.75"/>
    <n v="823.92"/>
  </r>
  <r>
    <x v="2"/>
    <s v="Midtown"/>
    <x v="3"/>
    <n v="1"/>
    <n v="102.11"/>
    <n v="102.11"/>
    <n v="102.11"/>
    <n v="102.11"/>
  </r>
  <r>
    <x v="2"/>
    <s v="Inwood"/>
    <x v="3"/>
    <n v="1"/>
    <n v="100"/>
    <n v="100"/>
    <n v="100"/>
    <n v="100"/>
  </r>
  <r>
    <x v="2"/>
    <s v="Hell's Kitchen"/>
    <x v="3"/>
    <n v="3"/>
    <n v="91.66"/>
    <n v="62.47"/>
    <n v="124.53"/>
    <n v="274.98"/>
  </r>
  <r>
    <x v="2"/>
    <s v="Upper East Side"/>
    <x v="3"/>
    <n v="2"/>
    <n v="90.18"/>
    <n v="66.78"/>
    <n v="113.57"/>
    <n v="180.36"/>
  </r>
  <r>
    <x v="2"/>
    <s v="Gramercy"/>
    <x v="3"/>
    <n v="1"/>
    <n v="75.599999999999994"/>
    <n v="75.599999999999994"/>
    <n v="75.599999999999994"/>
    <n v="75.599999999999994"/>
  </r>
  <r>
    <x v="2"/>
    <s v="Chinatown"/>
    <x v="3"/>
    <n v="3"/>
    <n v="64.59"/>
    <n v="39.83"/>
    <n v="114.12"/>
    <n v="193.77"/>
  </r>
  <r>
    <x v="2"/>
    <s v="Upper West Side"/>
    <x v="3"/>
    <n v="16"/>
    <n v="61.63"/>
    <n v="27.91"/>
    <n v="373.15"/>
    <n v="986.08"/>
  </r>
  <r>
    <x v="2"/>
    <s v="Morningside Heights"/>
    <x v="3"/>
    <n v="1"/>
    <n v="27.13"/>
    <n v="27.13"/>
    <n v="27.13"/>
    <n v="27.13"/>
  </r>
  <r>
    <x v="2"/>
    <s v="Lower East Side"/>
    <x v="3"/>
    <n v="1"/>
    <n v="2"/>
    <n v="2"/>
    <n v="2"/>
    <n v="2"/>
  </r>
  <r>
    <x v="2"/>
    <s v="Kips Bay"/>
    <x v="3"/>
    <n v="1"/>
    <n v="1"/>
    <n v="1"/>
    <n v="1"/>
    <n v="1"/>
  </r>
  <r>
    <x v="3"/>
    <s v="Sunnyside"/>
    <x v="3"/>
    <n v="1"/>
    <n v="742"/>
    <n v="742"/>
    <n v="742"/>
    <n v="742"/>
  </r>
  <r>
    <x v="3"/>
    <s v="Arverne"/>
    <x v="3"/>
    <n v="1"/>
    <n v="561.57000000000005"/>
    <n v="561.57000000000005"/>
    <n v="561.57000000000005"/>
    <n v="561.57000000000005"/>
  </r>
  <r>
    <x v="3"/>
    <s v="Astoria"/>
    <x v="3"/>
    <n v="3"/>
    <n v="458.67"/>
    <n v="409"/>
    <n v="489"/>
    <n v="1376.01"/>
  </r>
  <r>
    <x v="3"/>
    <s v="Ozone Park"/>
    <x v="3"/>
    <n v="1"/>
    <n v="442.47"/>
    <n v="442.47"/>
    <n v="442.47"/>
    <n v="442.47"/>
  </r>
  <r>
    <x v="3"/>
    <s v="Howard Beach"/>
    <x v="3"/>
    <n v="1"/>
    <n v="265.48"/>
    <n v="265.48"/>
    <n v="265.48"/>
    <n v="265.48"/>
  </r>
  <r>
    <x v="3"/>
    <s v="Ditmars Steinway"/>
    <x v="3"/>
    <n v="1"/>
    <n v="216.81"/>
    <n v="216.81"/>
    <n v="216.81"/>
    <n v="216.81"/>
  </r>
  <r>
    <x v="3"/>
    <s v="Cambria Heights"/>
    <x v="3"/>
    <n v="1"/>
    <n v="172.7"/>
    <n v="172.7"/>
    <n v="172.7"/>
    <n v="172.7"/>
  </r>
  <r>
    <x v="3"/>
    <s v="Woodhaven"/>
    <x v="3"/>
    <n v="1"/>
    <n v="154.86000000000001"/>
    <n v="154.86000000000001"/>
    <n v="154.86000000000001"/>
    <n v="154.86000000000001"/>
  </r>
  <r>
    <x v="3"/>
    <s v="Jamaica"/>
    <x v="3"/>
    <n v="3"/>
    <n v="147.84"/>
    <n v="41.3"/>
    <n v="275"/>
    <n v="443.52"/>
  </r>
  <r>
    <x v="3"/>
    <s v="South Ozone Park"/>
    <x v="3"/>
    <n v="1"/>
    <n v="147"/>
    <n v="147"/>
    <n v="147"/>
    <n v="147"/>
  </r>
  <r>
    <x v="3"/>
    <s v="Fresh Meadows"/>
    <x v="3"/>
    <n v="1"/>
    <n v="131.66999999999999"/>
    <n v="131.66999999999999"/>
    <n v="131.66999999999999"/>
    <n v="131.66999999999999"/>
  </r>
  <r>
    <x v="3"/>
    <s v="Flushing"/>
    <x v="3"/>
    <n v="12"/>
    <n v="125.06"/>
    <n v="17.670000000000002"/>
    <n v="646.77"/>
    <n v="1500.72"/>
  </r>
  <r>
    <x v="3"/>
    <s v="Jamaica Estates"/>
    <x v="3"/>
    <n v="1"/>
    <n v="110.64"/>
    <n v="110.64"/>
    <n v="110.64"/>
    <n v="110.64"/>
  </r>
  <r>
    <x v="3"/>
    <s v="Rosedale"/>
    <x v="3"/>
    <n v="1"/>
    <n v="107.37"/>
    <n v="107.37"/>
    <n v="107.37"/>
    <n v="107.37"/>
  </r>
  <r>
    <x v="3"/>
    <s v="Whitestone"/>
    <x v="3"/>
    <n v="1"/>
    <n v="94.03"/>
    <n v="94.03"/>
    <n v="94.03"/>
    <n v="94.03"/>
  </r>
  <r>
    <x v="3"/>
    <s v="St. Albans"/>
    <x v="3"/>
    <n v="1"/>
    <n v="92.43"/>
    <n v="92.43"/>
    <n v="92.43"/>
    <n v="92.43"/>
  </r>
  <r>
    <x v="3"/>
    <s v="Woodside"/>
    <x v="3"/>
    <n v="1"/>
    <n v="79.150000000000006"/>
    <n v="79.150000000000006"/>
    <n v="79.150000000000006"/>
    <n v="79.150000000000006"/>
  </r>
  <r>
    <x v="3"/>
    <s v="Maspeth"/>
    <x v="3"/>
    <n v="1"/>
    <n v="55.33"/>
    <n v="55.33"/>
    <n v="55.33"/>
    <n v="55.33"/>
  </r>
  <r>
    <x v="3"/>
    <s v="Jackson Heights"/>
    <x v="3"/>
    <n v="2"/>
    <n v="53.52"/>
    <n v="45.57"/>
    <n v="61.47"/>
    <n v="107.04"/>
  </r>
  <r>
    <x v="3"/>
    <s v="Corona"/>
    <x v="3"/>
    <n v="5"/>
    <n v="48.26"/>
    <n v="33.299999999999997"/>
    <n v="105.6"/>
    <n v="241.29999999999998"/>
  </r>
  <r>
    <x v="3"/>
    <s v="Bayside"/>
    <x v="3"/>
    <n v="1"/>
    <n v="42.48"/>
    <n v="42.48"/>
    <n v="42.48"/>
    <n v="42.48"/>
  </r>
  <r>
    <x v="3"/>
    <s v="Rego Park"/>
    <x v="3"/>
    <n v="1"/>
    <n v="42.33"/>
    <n v="42.33"/>
    <n v="42.33"/>
    <n v="42.33"/>
  </r>
  <r>
    <x v="4"/>
    <s v="Eltingville"/>
    <x v="3"/>
    <n v="1"/>
    <n v="208.15"/>
    <n v="208.15"/>
    <n v="208.15"/>
    <n v="208.15"/>
  </r>
  <r>
    <x v="4"/>
    <s v="Rosebank"/>
    <x v="3"/>
    <n v="1"/>
    <n v="94.3"/>
    <n v="94.3"/>
    <n v="94.3"/>
    <n v="94.3"/>
  </r>
  <r>
    <x v="4"/>
    <s v="Mariners Harbor"/>
    <x v="3"/>
    <n v="1"/>
    <n v="91.29"/>
    <n v="91.29"/>
    <n v="91.29"/>
    <n v="91.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">
  <r>
    <x v="0"/>
    <x v="0"/>
    <n v="7973"/>
    <n v="261.02"/>
    <n v="1"/>
    <n v="998.01"/>
  </r>
  <r>
    <x v="0"/>
    <x v="1"/>
    <n v="3564"/>
    <n v="258.98"/>
    <n v="1"/>
    <n v="999.69"/>
  </r>
  <r>
    <x v="1"/>
    <x v="0"/>
    <n v="478"/>
    <n v="385.53"/>
    <n v="1"/>
    <n v="988.8"/>
  </r>
  <r>
    <x v="1"/>
    <x v="1"/>
    <n v="2"/>
    <n v="324.62"/>
    <n v="250"/>
    <n v="399.23"/>
  </r>
  <r>
    <x v="2"/>
    <x v="0"/>
    <n v="6095"/>
    <n v="143.91"/>
    <n v="1"/>
    <n v="997.07"/>
  </r>
  <r>
    <x v="2"/>
    <x v="1"/>
    <n v="2933"/>
    <n v="159.81"/>
    <n v="1"/>
    <n v="999"/>
  </r>
  <r>
    <x v="3"/>
    <x v="0"/>
    <n v="142"/>
    <n v="110.16"/>
    <n v="1"/>
    <n v="742"/>
  </r>
  <r>
    <x v="3"/>
    <x v="1"/>
    <n v="50"/>
    <n v="158.77000000000001"/>
    <n v="1"/>
    <n v="774.3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7">
  <r>
    <n v="1"/>
    <x v="0"/>
    <x v="0"/>
    <n v="357647"/>
    <n v="77.42"/>
    <n v="260.39"/>
  </r>
  <r>
    <n v="1"/>
    <x v="0"/>
    <x v="1"/>
    <n v="14880"/>
    <n v="85.29"/>
    <n v="385.28"/>
  </r>
  <r>
    <n v="1"/>
    <x v="0"/>
    <x v="2"/>
    <n v="288486"/>
    <n v="70.56"/>
    <n v="154.74"/>
  </r>
  <r>
    <n v="1"/>
    <x v="0"/>
    <x v="3"/>
    <n v="5952"/>
    <n v="78.930000000000007"/>
    <n v="122.82"/>
  </r>
  <r>
    <n v="2"/>
    <x v="1"/>
    <x v="0"/>
    <n v="323036"/>
    <n v="77.900000000000006"/>
    <n v="260.39"/>
  </r>
  <r>
    <n v="2"/>
    <x v="1"/>
    <x v="1"/>
    <n v="13440"/>
    <n v="85.79"/>
    <n v="385.28"/>
  </r>
  <r>
    <n v="2"/>
    <x v="1"/>
    <x v="2"/>
    <n v="260568"/>
    <n v="71.099999999999994"/>
    <n v="154.74"/>
  </r>
  <r>
    <n v="2"/>
    <x v="1"/>
    <x v="3"/>
    <n v="5376"/>
    <n v="79.17"/>
    <n v="122.82"/>
  </r>
  <r>
    <n v="3"/>
    <x v="2"/>
    <x v="0"/>
    <n v="357647"/>
    <n v="71.099999999999994"/>
    <n v="260.39"/>
  </r>
  <r>
    <n v="3"/>
    <x v="2"/>
    <x v="1"/>
    <n v="14880"/>
    <n v="84.1"/>
    <n v="385.28"/>
  </r>
  <r>
    <n v="3"/>
    <x v="2"/>
    <x v="2"/>
    <n v="288486"/>
    <n v="63"/>
    <n v="154.74"/>
  </r>
  <r>
    <n v="3"/>
    <x v="2"/>
    <x v="3"/>
    <n v="5952"/>
    <n v="76.5"/>
    <n v="122.82"/>
  </r>
  <r>
    <n v="4"/>
    <x v="3"/>
    <x v="0"/>
    <n v="346110"/>
    <n v="67.23"/>
    <n v="260.39"/>
  </r>
  <r>
    <n v="4"/>
    <x v="3"/>
    <x v="1"/>
    <n v="14400"/>
    <n v="73.34"/>
    <n v="385.28"/>
  </r>
  <r>
    <n v="4"/>
    <x v="3"/>
    <x v="2"/>
    <n v="279180"/>
    <n v="57.51"/>
    <n v="154.74"/>
  </r>
  <r>
    <n v="4"/>
    <x v="3"/>
    <x v="3"/>
    <n v="5760"/>
    <n v="75"/>
    <n v="122.82"/>
  </r>
  <r>
    <n v="5"/>
    <x v="4"/>
    <x v="0"/>
    <n v="357647"/>
    <n v="65.14"/>
    <n v="260.39"/>
  </r>
  <r>
    <n v="5"/>
    <x v="4"/>
    <x v="1"/>
    <n v="14880"/>
    <n v="69.27"/>
    <n v="385.28"/>
  </r>
  <r>
    <n v="5"/>
    <x v="4"/>
    <x v="2"/>
    <n v="288486"/>
    <n v="56.92"/>
    <n v="154.74"/>
  </r>
  <r>
    <n v="5"/>
    <x v="4"/>
    <x v="3"/>
    <n v="5952"/>
    <n v="75"/>
    <n v="122.82"/>
  </r>
  <r>
    <n v="6"/>
    <x v="5"/>
    <x v="0"/>
    <n v="346111"/>
    <n v="47.11"/>
    <n v="260.39"/>
  </r>
  <r>
    <n v="6"/>
    <x v="5"/>
    <x v="1"/>
    <n v="14400"/>
    <n v="59.1"/>
    <n v="385.28"/>
  </r>
  <r>
    <n v="6"/>
    <x v="5"/>
    <x v="2"/>
    <n v="279180"/>
    <n v="47.83"/>
    <n v="154.74"/>
  </r>
  <r>
    <n v="6"/>
    <x v="5"/>
    <x v="3"/>
    <n v="5760"/>
    <n v="56.15"/>
    <n v="122.82"/>
  </r>
  <r>
    <n v="7"/>
    <x v="6"/>
    <x v="0"/>
    <n v="357647"/>
    <n v="46.9"/>
    <n v="260.39"/>
  </r>
  <r>
    <n v="7"/>
    <x v="6"/>
    <x v="1"/>
    <n v="14880"/>
    <n v="74.08"/>
    <n v="385.28"/>
  </r>
  <r>
    <n v="7"/>
    <x v="6"/>
    <x v="2"/>
    <n v="288486"/>
    <n v="58.92"/>
    <n v="154.74"/>
  </r>
  <r>
    <n v="7"/>
    <x v="6"/>
    <x v="3"/>
    <n v="5952"/>
    <n v="58.3"/>
    <n v="122.82"/>
  </r>
  <r>
    <n v="8"/>
    <x v="7"/>
    <x v="0"/>
    <n v="357647"/>
    <n v="68.31"/>
    <n v="260.39"/>
  </r>
  <r>
    <n v="8"/>
    <x v="7"/>
    <x v="1"/>
    <n v="14880"/>
    <n v="84.29"/>
    <n v="385.28"/>
  </r>
  <r>
    <n v="8"/>
    <x v="7"/>
    <x v="2"/>
    <n v="288486"/>
    <n v="72.36"/>
    <n v="154.74"/>
  </r>
  <r>
    <n v="8"/>
    <x v="7"/>
    <x v="3"/>
    <n v="5952"/>
    <n v="79.819999999999993"/>
    <n v="122.82"/>
  </r>
  <r>
    <n v="9"/>
    <x v="8"/>
    <x v="0"/>
    <n v="346110"/>
    <n v="70.42"/>
    <n v="260.39"/>
  </r>
  <r>
    <n v="9"/>
    <x v="8"/>
    <x v="1"/>
    <n v="14400"/>
    <n v="80.89"/>
    <n v="385.28"/>
  </r>
  <r>
    <n v="9"/>
    <x v="8"/>
    <x v="2"/>
    <n v="279180"/>
    <n v="72.64"/>
    <n v="154.74"/>
  </r>
  <r>
    <n v="9"/>
    <x v="8"/>
    <x v="3"/>
    <n v="5760"/>
    <n v="80.17"/>
    <n v="122.82"/>
  </r>
  <r>
    <n v="10"/>
    <x v="9"/>
    <x v="0"/>
    <n v="357647"/>
    <n v="72.38"/>
    <n v="260.39"/>
  </r>
  <r>
    <n v="10"/>
    <x v="9"/>
    <x v="1"/>
    <n v="14880"/>
    <n v="84.42"/>
    <n v="385.28"/>
  </r>
  <r>
    <n v="10"/>
    <x v="9"/>
    <x v="2"/>
    <n v="288486"/>
    <n v="73.72"/>
    <n v="154.74"/>
  </r>
  <r>
    <n v="10"/>
    <x v="9"/>
    <x v="3"/>
    <n v="5952"/>
    <n v="78.900000000000006"/>
    <n v="122.82"/>
  </r>
  <r>
    <n v="11"/>
    <x v="10"/>
    <x v="0"/>
    <n v="346110"/>
    <n v="78"/>
    <n v="260.39"/>
  </r>
  <r>
    <n v="11"/>
    <x v="10"/>
    <x v="1"/>
    <n v="14400"/>
    <n v="90.05"/>
    <n v="385.28"/>
  </r>
  <r>
    <n v="11"/>
    <x v="10"/>
    <x v="2"/>
    <n v="279180"/>
    <n v="76.36"/>
    <n v="154.74"/>
  </r>
  <r>
    <n v="11"/>
    <x v="10"/>
    <x v="3"/>
    <n v="5760"/>
    <n v="81.91"/>
    <n v="122.82"/>
  </r>
  <r>
    <n v="12"/>
    <x v="11"/>
    <x v="0"/>
    <n v="357647"/>
    <n v="74.89"/>
    <n v="260.39"/>
  </r>
  <r>
    <n v="12"/>
    <x v="11"/>
    <x v="1"/>
    <n v="14880"/>
    <n v="86.94"/>
    <n v="385.28"/>
  </r>
  <r>
    <n v="12"/>
    <x v="11"/>
    <x v="2"/>
    <n v="288486"/>
    <n v="69.209999999999994"/>
    <n v="154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3:N10" firstHeaderRow="1" firstDataRow="2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dataField="1" showAll="0"/>
    <pivotField numFmtId="2" showAll="0"/>
    <pivotField numFmtId="2" showAll="0"/>
    <pivotField showAll="0"/>
    <pivotField numFmtId="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listing_count" fld="2" baseField="0" baseItem="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K2:U10" firstHeaderRow="1" firstDataRow="3" firstDataCol="1"/>
  <pivotFields count="8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numFmtId="2" showAll="0"/>
    <pivotField numFmtId="2" showAll="0"/>
    <pivotField numFmtId="2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weighted_price" fld="7" baseField="0" baseItem="0"/>
    <dataField name="Sum of priced_listing_count" fld="3" baseField="0" baseItem="0"/>
  </dataFields>
  <chartFormats count="4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4:D20" firstHeaderRow="1" firstDataRow="2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numFmtId="2" showAll="0"/>
    <pivotField numFmtId="2" showAll="0"/>
    <pivotField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avg_price" fld="3" subtotal="average" baseField="0" baseItem="0"/>
  </dataFields>
  <chartFormats count="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3:N17" firstHeaderRow="1" firstDataRow="2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2" showAll="0"/>
    <pivotField numFmtId="2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vailability_pct" fld="4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H1" zoomScale="91" workbookViewId="0">
      <pane ySplit="2" topLeftCell="A21" activePane="bottomLeft" state="frozen"/>
      <selection pane="bottomLeft" activeCell="I32" sqref="I32"/>
    </sheetView>
  </sheetViews>
  <sheetFormatPr defaultRowHeight="14.5" x14ac:dyDescent="0.35"/>
  <cols>
    <col min="1" max="1" width="16" customWidth="1"/>
    <col min="2" max="2" width="18" customWidth="1"/>
    <col min="3" max="3" width="16" customWidth="1"/>
    <col min="4" max="4" width="27" customWidth="1"/>
    <col min="5" max="5" width="25" customWidth="1"/>
    <col min="6" max="6" width="17" customWidth="1"/>
    <col min="7" max="7" width="15" customWidth="1"/>
    <col min="9" max="9" width="18" bestFit="1" customWidth="1"/>
    <col min="10" max="10" width="15.26953125" bestFit="1" customWidth="1"/>
    <col min="11" max="11" width="10.36328125" bestFit="1" customWidth="1"/>
    <col min="12" max="12" width="11.7265625" bestFit="1" customWidth="1"/>
    <col min="13" max="13" width="11.6328125" bestFit="1" customWidth="1"/>
    <col min="14" max="14" width="10.7265625" bestFit="1" customWidth="1"/>
  </cols>
  <sheetData>
    <row r="1" spans="1:14" ht="30" customHeight="1" x14ac:dyDescent="0.35">
      <c r="A1" s="3" t="s">
        <v>0</v>
      </c>
      <c r="B1" s="4"/>
      <c r="C1" s="4"/>
      <c r="D1" s="4"/>
      <c r="E1" s="4"/>
      <c r="F1" s="4"/>
      <c r="G1" s="4"/>
    </row>
    <row r="2" spans="1:14" s="5" customFormat="1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14" x14ac:dyDescent="0.35">
      <c r="A3" s="1" t="s">
        <v>8</v>
      </c>
      <c r="B3" s="1" t="s">
        <v>9</v>
      </c>
      <c r="C3" s="1">
        <v>589</v>
      </c>
      <c r="D3" s="2">
        <v>60.35</v>
      </c>
      <c r="E3" s="2">
        <v>1.95</v>
      </c>
      <c r="F3" s="1">
        <v>1081</v>
      </c>
      <c r="G3" s="2">
        <v>1.84</v>
      </c>
      <c r="I3" s="15" t="s">
        <v>295</v>
      </c>
      <c r="J3" s="15" t="s">
        <v>294</v>
      </c>
    </row>
    <row r="4" spans="1:14" x14ac:dyDescent="0.35">
      <c r="A4" s="1" t="s">
        <v>8</v>
      </c>
      <c r="B4" s="1" t="s">
        <v>10</v>
      </c>
      <c r="C4" s="1">
        <v>385</v>
      </c>
      <c r="D4" s="2">
        <v>39.450000000000003</v>
      </c>
      <c r="E4" s="2">
        <v>1.27</v>
      </c>
      <c r="F4" s="1">
        <v>1502</v>
      </c>
      <c r="G4" s="2">
        <v>3.9</v>
      </c>
      <c r="I4" s="15" t="s">
        <v>292</v>
      </c>
      <c r="J4" t="s">
        <v>10</v>
      </c>
      <c r="K4" t="s">
        <v>13</v>
      </c>
      <c r="L4" t="s">
        <v>9</v>
      </c>
      <c r="M4" t="s">
        <v>11</v>
      </c>
      <c r="N4" t="s">
        <v>293</v>
      </c>
    </row>
    <row r="5" spans="1:14" x14ac:dyDescent="0.35">
      <c r="A5" s="1" t="s">
        <v>8</v>
      </c>
      <c r="B5" s="1" t="s">
        <v>11</v>
      </c>
      <c r="C5" s="1">
        <v>2</v>
      </c>
      <c r="D5" s="2">
        <v>0.2</v>
      </c>
      <c r="E5" s="2">
        <v>0.01</v>
      </c>
      <c r="F5" s="1">
        <v>3</v>
      </c>
      <c r="G5" s="2">
        <v>1.5</v>
      </c>
      <c r="I5" s="16" t="s">
        <v>8</v>
      </c>
      <c r="J5" s="17">
        <v>385</v>
      </c>
      <c r="K5" s="17"/>
      <c r="L5" s="17">
        <v>589</v>
      </c>
      <c r="M5" s="17">
        <v>2</v>
      </c>
      <c r="N5" s="17">
        <v>976</v>
      </c>
    </row>
    <row r="6" spans="1:14" x14ac:dyDescent="0.35">
      <c r="A6" s="1" t="s">
        <v>12</v>
      </c>
      <c r="B6" s="1" t="s">
        <v>10</v>
      </c>
      <c r="C6" s="1">
        <v>5529</v>
      </c>
      <c r="D6" s="2">
        <v>52.35</v>
      </c>
      <c r="E6" s="2">
        <v>18.27</v>
      </c>
      <c r="F6" s="1">
        <v>20685</v>
      </c>
      <c r="G6" s="2">
        <v>3.74</v>
      </c>
      <c r="I6" s="16" t="s">
        <v>12</v>
      </c>
      <c r="J6" s="17">
        <v>5529</v>
      </c>
      <c r="K6" s="17">
        <v>43</v>
      </c>
      <c r="L6" s="17">
        <v>4889</v>
      </c>
      <c r="M6" s="17">
        <v>101</v>
      </c>
      <c r="N6" s="17">
        <v>10562</v>
      </c>
    </row>
    <row r="7" spans="1:14" x14ac:dyDescent="0.35">
      <c r="A7" s="1" t="s">
        <v>12</v>
      </c>
      <c r="B7" s="1" t="s">
        <v>9</v>
      </c>
      <c r="C7" s="1">
        <v>4889</v>
      </c>
      <c r="D7" s="2">
        <v>46.29</v>
      </c>
      <c r="E7" s="2">
        <v>16.16</v>
      </c>
      <c r="F7" s="1">
        <v>8980</v>
      </c>
      <c r="G7" s="2">
        <v>1.84</v>
      </c>
      <c r="I7" s="16" t="s">
        <v>14</v>
      </c>
      <c r="J7" s="17">
        <v>9035</v>
      </c>
      <c r="K7" s="17">
        <v>384</v>
      </c>
      <c r="L7" s="17">
        <v>4222</v>
      </c>
      <c r="M7" s="17">
        <v>68</v>
      </c>
      <c r="N7" s="17">
        <v>13709</v>
      </c>
    </row>
    <row r="8" spans="1:14" x14ac:dyDescent="0.35">
      <c r="A8" s="1" t="s">
        <v>12</v>
      </c>
      <c r="B8" s="1" t="s">
        <v>11</v>
      </c>
      <c r="C8" s="1">
        <v>101</v>
      </c>
      <c r="D8" s="2">
        <v>0.96</v>
      </c>
      <c r="E8" s="2">
        <v>0.33</v>
      </c>
      <c r="F8" s="1">
        <v>167</v>
      </c>
      <c r="G8" s="2">
        <v>1.65</v>
      </c>
      <c r="I8" s="16" t="s">
        <v>15</v>
      </c>
      <c r="J8" s="17">
        <v>1711</v>
      </c>
      <c r="K8" s="17">
        <v>93</v>
      </c>
      <c r="L8" s="17">
        <v>2832</v>
      </c>
      <c r="M8" s="17">
        <v>44</v>
      </c>
      <c r="N8" s="17">
        <v>4680</v>
      </c>
    </row>
    <row r="9" spans="1:14" x14ac:dyDescent="0.35">
      <c r="A9" s="1" t="s">
        <v>12</v>
      </c>
      <c r="B9" s="1" t="s">
        <v>13</v>
      </c>
      <c r="C9" s="1">
        <v>43</v>
      </c>
      <c r="D9" s="2">
        <v>0.41</v>
      </c>
      <c r="E9" s="2">
        <v>0.14000000000000001</v>
      </c>
      <c r="F9" s="1">
        <v>156</v>
      </c>
      <c r="G9" s="2">
        <v>3.63</v>
      </c>
      <c r="I9" s="16" t="s">
        <v>16</v>
      </c>
      <c r="J9" s="17">
        <v>148</v>
      </c>
      <c r="K9" s="17"/>
      <c r="L9" s="17">
        <v>181</v>
      </c>
      <c r="M9" s="17">
        <v>3</v>
      </c>
      <c r="N9" s="17">
        <v>332</v>
      </c>
    </row>
    <row r="10" spans="1:14" x14ac:dyDescent="0.35">
      <c r="A10" s="1" t="s">
        <v>14</v>
      </c>
      <c r="B10" s="1" t="s">
        <v>10</v>
      </c>
      <c r="C10" s="1">
        <v>9035</v>
      </c>
      <c r="D10" s="2">
        <v>65.91</v>
      </c>
      <c r="E10" s="2">
        <v>29.86</v>
      </c>
      <c r="F10" s="1">
        <v>29622</v>
      </c>
      <c r="G10" s="2">
        <v>3.28</v>
      </c>
      <c r="I10" s="16" t="s">
        <v>293</v>
      </c>
      <c r="J10" s="17">
        <v>16808</v>
      </c>
      <c r="K10" s="17">
        <v>520</v>
      </c>
      <c r="L10" s="17">
        <v>12713</v>
      </c>
      <c r="M10" s="17">
        <v>218</v>
      </c>
      <c r="N10" s="17">
        <v>30259</v>
      </c>
    </row>
    <row r="11" spans="1:14" x14ac:dyDescent="0.35">
      <c r="A11" s="1" t="s">
        <v>14</v>
      </c>
      <c r="B11" s="1" t="s">
        <v>9</v>
      </c>
      <c r="C11" s="1">
        <v>4222</v>
      </c>
      <c r="D11" s="2">
        <v>30.8</v>
      </c>
      <c r="E11" s="2">
        <v>13.95</v>
      </c>
      <c r="F11" s="1">
        <v>9058</v>
      </c>
      <c r="G11" s="2">
        <v>2.15</v>
      </c>
    </row>
    <row r="12" spans="1:14" x14ac:dyDescent="0.35">
      <c r="A12" s="1" t="s">
        <v>14</v>
      </c>
      <c r="B12" s="1" t="s">
        <v>13</v>
      </c>
      <c r="C12" s="1">
        <v>384</v>
      </c>
      <c r="D12" s="2">
        <v>2.8</v>
      </c>
      <c r="E12" s="2">
        <v>1.27</v>
      </c>
      <c r="F12" s="1">
        <v>1556</v>
      </c>
      <c r="G12" s="2">
        <v>4.05</v>
      </c>
    </row>
    <row r="13" spans="1:14" x14ac:dyDescent="0.35">
      <c r="A13" s="1" t="s">
        <v>14</v>
      </c>
      <c r="B13" s="1" t="s">
        <v>11</v>
      </c>
      <c r="C13" s="1">
        <v>68</v>
      </c>
      <c r="D13" s="2">
        <v>0.5</v>
      </c>
      <c r="E13" s="2">
        <v>0.22</v>
      </c>
      <c r="F13" s="1">
        <v>133</v>
      </c>
      <c r="G13" s="2">
        <v>1.96</v>
      </c>
    </row>
    <row r="14" spans="1:14" x14ac:dyDescent="0.35">
      <c r="A14" s="1" t="s">
        <v>15</v>
      </c>
      <c r="B14" s="1" t="s">
        <v>9</v>
      </c>
      <c r="C14" s="1">
        <v>2832</v>
      </c>
      <c r="D14" s="2">
        <v>60.51</v>
      </c>
      <c r="E14" s="2">
        <v>9.36</v>
      </c>
      <c r="F14" s="1">
        <v>5266</v>
      </c>
      <c r="G14" s="2">
        <v>1.86</v>
      </c>
    </row>
    <row r="15" spans="1:14" x14ac:dyDescent="0.35">
      <c r="A15" s="1" t="s">
        <v>15</v>
      </c>
      <c r="B15" s="1" t="s">
        <v>10</v>
      </c>
      <c r="C15" s="1">
        <v>1711</v>
      </c>
      <c r="D15" s="2">
        <v>36.56</v>
      </c>
      <c r="E15" s="2">
        <v>5.65</v>
      </c>
      <c r="F15" s="1">
        <v>6918</v>
      </c>
      <c r="G15" s="2">
        <v>4.04</v>
      </c>
    </row>
    <row r="16" spans="1:14" x14ac:dyDescent="0.35">
      <c r="A16" s="1" t="s">
        <v>15</v>
      </c>
      <c r="B16" s="1" t="s">
        <v>13</v>
      </c>
      <c r="C16" s="1">
        <v>93</v>
      </c>
      <c r="D16" s="2">
        <v>1.99</v>
      </c>
      <c r="E16" s="2">
        <v>0.31</v>
      </c>
      <c r="F16" s="1">
        <v>499</v>
      </c>
      <c r="G16" s="2">
        <v>5.37</v>
      </c>
    </row>
    <row r="17" spans="1:7" x14ac:dyDescent="0.35">
      <c r="A17" s="1" t="s">
        <v>15</v>
      </c>
      <c r="B17" s="1" t="s">
        <v>11</v>
      </c>
      <c r="C17" s="1">
        <v>44</v>
      </c>
      <c r="D17" s="2">
        <v>0.94</v>
      </c>
      <c r="E17" s="2">
        <v>0.15</v>
      </c>
      <c r="F17" s="1">
        <v>81</v>
      </c>
      <c r="G17" s="2">
        <v>1.84</v>
      </c>
    </row>
    <row r="18" spans="1:7" x14ac:dyDescent="0.35">
      <c r="A18" s="1" t="s">
        <v>16</v>
      </c>
      <c r="B18" s="1" t="s">
        <v>9</v>
      </c>
      <c r="C18" s="1">
        <v>181</v>
      </c>
      <c r="D18" s="2">
        <v>54.52</v>
      </c>
      <c r="E18" s="2">
        <v>0.6</v>
      </c>
      <c r="F18" s="1">
        <v>341</v>
      </c>
      <c r="G18" s="2">
        <v>1.88</v>
      </c>
    </row>
    <row r="19" spans="1:7" x14ac:dyDescent="0.35">
      <c r="A19" s="1" t="s">
        <v>16</v>
      </c>
      <c r="B19" s="1" t="s">
        <v>10</v>
      </c>
      <c r="C19" s="1">
        <v>148</v>
      </c>
      <c r="D19" s="2">
        <v>44.58</v>
      </c>
      <c r="E19" s="2">
        <v>0.49</v>
      </c>
      <c r="F19" s="1">
        <v>570</v>
      </c>
      <c r="G19" s="2">
        <v>3.85</v>
      </c>
    </row>
    <row r="20" spans="1:7" x14ac:dyDescent="0.35">
      <c r="A20" s="1" t="s">
        <v>16</v>
      </c>
      <c r="B20" s="1" t="s">
        <v>11</v>
      </c>
      <c r="C20" s="1">
        <v>3</v>
      </c>
      <c r="D20" s="2">
        <v>0.9</v>
      </c>
      <c r="E20" s="2">
        <v>0.01</v>
      </c>
      <c r="F20" s="1">
        <v>7</v>
      </c>
      <c r="G20" s="2">
        <v>2.33</v>
      </c>
    </row>
  </sheetData>
  <mergeCells count="1">
    <mergeCell ref="A1:G1"/>
  </mergeCells>
  <pageMargins left="0.75" right="0.75" top="1" bottom="1" header="0.5" footer="0.5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92" workbookViewId="0">
      <pane ySplit="2" topLeftCell="A6" activePane="bottomLeft" state="frozen"/>
      <selection pane="bottomLeft" activeCell="A25" sqref="A25"/>
    </sheetView>
  </sheetViews>
  <sheetFormatPr defaultRowHeight="14.5" x14ac:dyDescent="0.35"/>
  <cols>
    <col min="1" max="1" width="23" customWidth="1"/>
    <col min="2" max="2" width="13" customWidth="1"/>
    <col min="3" max="3" width="16" customWidth="1"/>
    <col min="4" max="4" width="15" customWidth="1"/>
    <col min="5" max="5" width="18" customWidth="1"/>
  </cols>
  <sheetData>
    <row r="1" spans="1:5" ht="30" customHeight="1" x14ac:dyDescent="0.35">
      <c r="A1" s="3" t="s">
        <v>17</v>
      </c>
      <c r="B1" s="4"/>
      <c r="C1" s="4"/>
      <c r="D1" s="4"/>
      <c r="E1" s="4"/>
    </row>
    <row r="2" spans="1:5" s="5" customFormat="1" x14ac:dyDescent="0.35">
      <c r="A2" s="6" t="s">
        <v>18</v>
      </c>
      <c r="B2" s="6" t="s">
        <v>19</v>
      </c>
      <c r="C2" s="6" t="s">
        <v>3</v>
      </c>
      <c r="D2" s="6" t="s">
        <v>20</v>
      </c>
      <c r="E2" s="6" t="s">
        <v>21</v>
      </c>
    </row>
    <row r="3" spans="1:5" x14ac:dyDescent="0.35">
      <c r="A3" s="1" t="s">
        <v>22</v>
      </c>
      <c r="B3" s="1">
        <v>3200</v>
      </c>
      <c r="C3" s="1">
        <v>16985</v>
      </c>
      <c r="D3" s="2">
        <v>19.420000000000002</v>
      </c>
      <c r="E3" s="2">
        <v>56.13</v>
      </c>
    </row>
    <row r="4" spans="1:5" x14ac:dyDescent="0.35">
      <c r="A4" s="1" t="s">
        <v>23</v>
      </c>
      <c r="B4" s="1">
        <v>13274</v>
      </c>
      <c r="C4" s="1">
        <v>13274</v>
      </c>
      <c r="D4" s="2">
        <v>80.58</v>
      </c>
      <c r="E4" s="2">
        <v>43.87</v>
      </c>
    </row>
    <row r="9" spans="1:5" x14ac:dyDescent="0.35">
      <c r="C9" s="8"/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2"/>
  <sheetViews>
    <sheetView topLeftCell="H1" zoomScale="64" workbookViewId="0">
      <pane ySplit="2" topLeftCell="A3" activePane="bottomLeft" state="frozen"/>
      <selection pane="bottomLeft" activeCell="K16" sqref="K16"/>
    </sheetView>
  </sheetViews>
  <sheetFormatPr defaultRowHeight="14.5" x14ac:dyDescent="0.35"/>
  <cols>
    <col min="1" max="1" width="13.81640625" bestFit="1" customWidth="1"/>
    <col min="2" max="2" width="27.36328125" bestFit="1" customWidth="1"/>
    <col min="3" max="3" width="16.453125" bestFit="1" customWidth="1"/>
    <col min="4" max="4" width="21.26953125" bestFit="1" customWidth="1"/>
    <col min="5" max="5" width="10.6328125" bestFit="1" customWidth="1"/>
    <col min="6" max="6" width="10.81640625" bestFit="1" customWidth="1"/>
    <col min="7" max="7" width="11.1796875" bestFit="1" customWidth="1"/>
    <col min="8" max="8" width="16.08984375" bestFit="1" customWidth="1"/>
    <col min="11" max="11" width="19.1796875" bestFit="1" customWidth="1"/>
    <col min="12" max="12" width="28.26953125" bestFit="1" customWidth="1"/>
    <col min="13" max="13" width="34.81640625" bestFit="1" customWidth="1"/>
    <col min="14" max="14" width="28.26953125" bestFit="1" customWidth="1"/>
    <col min="15" max="15" width="34.81640625" bestFit="1" customWidth="1"/>
    <col min="16" max="16" width="28.26953125" bestFit="1" customWidth="1"/>
    <col min="17" max="17" width="34.81640625" bestFit="1" customWidth="1"/>
    <col min="18" max="18" width="28.26953125" bestFit="1" customWidth="1"/>
    <col min="19" max="19" width="34.81640625" bestFit="1" customWidth="1"/>
    <col min="20" max="20" width="35.1796875" bestFit="1" customWidth="1"/>
    <col min="21" max="21" width="41.453125" bestFit="1" customWidth="1"/>
  </cols>
  <sheetData>
    <row r="1" spans="1:21" x14ac:dyDescent="0.35">
      <c r="A1" s="3" t="s">
        <v>24</v>
      </c>
      <c r="B1" s="4"/>
      <c r="C1" s="4"/>
      <c r="D1" s="4"/>
      <c r="E1" s="4"/>
      <c r="F1" s="4"/>
      <c r="G1" s="4"/>
    </row>
    <row r="2" spans="1:21" s="5" customFormat="1" x14ac:dyDescent="0.35">
      <c r="A2" s="6" t="s">
        <v>1</v>
      </c>
      <c r="B2" s="6" t="s">
        <v>25</v>
      </c>
      <c r="C2" s="6" t="s">
        <v>2</v>
      </c>
      <c r="D2" s="6" t="s">
        <v>26</v>
      </c>
      <c r="E2" s="6" t="s">
        <v>27</v>
      </c>
      <c r="F2" s="6" t="s">
        <v>28</v>
      </c>
      <c r="G2" s="6" t="s">
        <v>29</v>
      </c>
      <c r="H2" s="5" t="s">
        <v>296</v>
      </c>
      <c r="K2"/>
      <c r="L2" s="15" t="s">
        <v>294</v>
      </c>
      <c r="M2"/>
      <c r="N2"/>
      <c r="O2"/>
      <c r="P2"/>
      <c r="Q2"/>
      <c r="R2"/>
      <c r="S2"/>
      <c r="T2"/>
      <c r="U2"/>
    </row>
    <row r="3" spans="1:21" x14ac:dyDescent="0.35">
      <c r="A3" s="1" t="s">
        <v>8</v>
      </c>
      <c r="B3" s="1" t="s">
        <v>30</v>
      </c>
      <c r="C3" s="1" t="s">
        <v>10</v>
      </c>
      <c r="D3" s="1">
        <v>4</v>
      </c>
      <c r="E3" s="2">
        <v>337.81</v>
      </c>
      <c r="F3" s="2">
        <v>186.54</v>
      </c>
      <c r="G3" s="2">
        <v>498.2</v>
      </c>
      <c r="H3">
        <f>E3*D3</f>
        <v>1351.24</v>
      </c>
      <c r="L3" t="s">
        <v>10</v>
      </c>
      <c r="N3" t="s">
        <v>13</v>
      </c>
      <c r="P3" t="s">
        <v>9</v>
      </c>
      <c r="R3" t="s">
        <v>11</v>
      </c>
      <c r="T3" t="s">
        <v>298</v>
      </c>
      <c r="U3" t="s">
        <v>299</v>
      </c>
    </row>
    <row r="4" spans="1:21" x14ac:dyDescent="0.35">
      <c r="A4" s="1" t="s">
        <v>8</v>
      </c>
      <c r="B4" s="1" t="s">
        <v>31</v>
      </c>
      <c r="C4" s="1" t="s">
        <v>10</v>
      </c>
      <c r="D4" s="1">
        <v>9</v>
      </c>
      <c r="E4" s="2">
        <v>260.94</v>
      </c>
      <c r="F4" s="2">
        <v>75.23</v>
      </c>
      <c r="G4" s="2">
        <v>458.07</v>
      </c>
      <c r="H4">
        <f t="shared" ref="H4:H67" si="0">E4*D4</f>
        <v>2348.46</v>
      </c>
      <c r="K4" s="15" t="s">
        <v>292</v>
      </c>
      <c r="L4" t="s">
        <v>297</v>
      </c>
      <c r="M4" t="s">
        <v>300</v>
      </c>
      <c r="N4" t="s">
        <v>297</v>
      </c>
      <c r="O4" t="s">
        <v>300</v>
      </c>
      <c r="P4" t="s">
        <v>297</v>
      </c>
      <c r="Q4" t="s">
        <v>300</v>
      </c>
      <c r="R4" t="s">
        <v>297</v>
      </c>
      <c r="S4" t="s">
        <v>300</v>
      </c>
    </row>
    <row r="5" spans="1:21" x14ac:dyDescent="0.35">
      <c r="A5" s="1" t="s">
        <v>8</v>
      </c>
      <c r="B5" s="1" t="s">
        <v>32</v>
      </c>
      <c r="C5" s="1" t="s">
        <v>10</v>
      </c>
      <c r="D5" s="1">
        <v>17</v>
      </c>
      <c r="E5" s="2">
        <v>243.93</v>
      </c>
      <c r="F5" s="2">
        <v>74.3</v>
      </c>
      <c r="G5" s="2">
        <v>995.57</v>
      </c>
      <c r="H5">
        <f t="shared" si="0"/>
        <v>4146.8100000000004</v>
      </c>
      <c r="K5" s="16" t="s">
        <v>8</v>
      </c>
      <c r="L5" s="17">
        <v>56018.26</v>
      </c>
      <c r="M5" s="17">
        <v>322</v>
      </c>
      <c r="N5" s="17"/>
      <c r="O5" s="17"/>
      <c r="P5" s="17">
        <v>51659.309999999976</v>
      </c>
      <c r="Q5" s="17">
        <v>502</v>
      </c>
      <c r="R5" s="17">
        <v>106.83</v>
      </c>
      <c r="S5" s="17">
        <v>2</v>
      </c>
      <c r="T5" s="17">
        <v>107784.39999999998</v>
      </c>
      <c r="U5" s="17">
        <v>826</v>
      </c>
    </row>
    <row r="6" spans="1:21" x14ac:dyDescent="0.35">
      <c r="A6" s="1" t="s">
        <v>8</v>
      </c>
      <c r="B6" s="1" t="s">
        <v>33</v>
      </c>
      <c r="C6" s="1" t="s">
        <v>10</v>
      </c>
      <c r="D6" s="1">
        <v>6</v>
      </c>
      <c r="E6" s="2">
        <v>243.54</v>
      </c>
      <c r="F6" s="2">
        <v>85.73</v>
      </c>
      <c r="G6" s="2">
        <v>536</v>
      </c>
      <c r="H6">
        <f t="shared" si="0"/>
        <v>1461.24</v>
      </c>
      <c r="K6" s="16" t="s">
        <v>12</v>
      </c>
      <c r="L6" s="17">
        <v>870536.64</v>
      </c>
      <c r="M6" s="17">
        <v>3582</v>
      </c>
      <c r="N6" s="17">
        <v>16586</v>
      </c>
      <c r="O6" s="17">
        <v>43</v>
      </c>
      <c r="P6" s="17">
        <v>489241.19000000012</v>
      </c>
      <c r="Q6" s="17">
        <v>3520</v>
      </c>
      <c r="R6" s="17">
        <v>11182.550000000003</v>
      </c>
      <c r="S6" s="17">
        <v>94</v>
      </c>
      <c r="T6" s="17">
        <v>1387546.3800000001</v>
      </c>
      <c r="U6" s="17">
        <v>7239</v>
      </c>
    </row>
    <row r="7" spans="1:21" x14ac:dyDescent="0.35">
      <c r="A7" s="1" t="s">
        <v>8</v>
      </c>
      <c r="B7" s="1" t="s">
        <v>34</v>
      </c>
      <c r="C7" s="1" t="s">
        <v>10</v>
      </c>
      <c r="D7" s="1">
        <v>2</v>
      </c>
      <c r="E7" s="2">
        <v>239.38</v>
      </c>
      <c r="F7" s="2">
        <v>195.98</v>
      </c>
      <c r="G7" s="2">
        <v>282.77999999999997</v>
      </c>
      <c r="H7">
        <f t="shared" si="0"/>
        <v>478.76</v>
      </c>
      <c r="K7" s="16" t="s">
        <v>14</v>
      </c>
      <c r="L7" s="17">
        <v>1792741.7400000002</v>
      </c>
      <c r="M7" s="17">
        <v>6138</v>
      </c>
      <c r="N7" s="17">
        <v>133355.03</v>
      </c>
      <c r="O7" s="17">
        <v>346</v>
      </c>
      <c r="P7" s="17">
        <v>628548.71</v>
      </c>
      <c r="Q7" s="17">
        <v>3004</v>
      </c>
      <c r="R7" s="17">
        <v>4771.01</v>
      </c>
      <c r="S7" s="17">
        <v>51</v>
      </c>
      <c r="T7" s="17">
        <v>2559416.4900000002</v>
      </c>
      <c r="U7" s="17">
        <v>9539</v>
      </c>
    </row>
    <row r="8" spans="1:21" x14ac:dyDescent="0.35">
      <c r="A8" s="1" t="s">
        <v>8</v>
      </c>
      <c r="B8" s="1" t="s">
        <v>35</v>
      </c>
      <c r="C8" s="1" t="s">
        <v>10</v>
      </c>
      <c r="D8" s="1">
        <v>8</v>
      </c>
      <c r="E8" s="2">
        <v>220.42</v>
      </c>
      <c r="F8" s="2">
        <v>77.53</v>
      </c>
      <c r="G8" s="2">
        <v>553.1</v>
      </c>
      <c r="H8">
        <f t="shared" si="0"/>
        <v>1763.36</v>
      </c>
      <c r="K8" s="16" t="s">
        <v>15</v>
      </c>
      <c r="L8" s="17">
        <v>265836.27999999997</v>
      </c>
      <c r="M8" s="17">
        <v>1361</v>
      </c>
      <c r="N8" s="17">
        <v>34991.83</v>
      </c>
      <c r="O8" s="17">
        <v>91</v>
      </c>
      <c r="P8" s="17">
        <v>250688.46999999991</v>
      </c>
      <c r="Q8" s="17">
        <v>2121</v>
      </c>
      <c r="R8" s="17">
        <v>7126.91</v>
      </c>
      <c r="S8" s="17">
        <v>42</v>
      </c>
      <c r="T8" s="17">
        <v>558643.48999999987</v>
      </c>
      <c r="U8" s="17">
        <v>3615</v>
      </c>
    </row>
    <row r="9" spans="1:21" x14ac:dyDescent="0.35">
      <c r="A9" s="1" t="s">
        <v>8</v>
      </c>
      <c r="B9" s="1" t="s">
        <v>36</v>
      </c>
      <c r="C9" s="1" t="s">
        <v>10</v>
      </c>
      <c r="D9" s="1">
        <v>3</v>
      </c>
      <c r="E9" s="2">
        <v>217.25</v>
      </c>
      <c r="F9" s="2">
        <v>90.6</v>
      </c>
      <c r="G9" s="2">
        <v>285.66000000000003</v>
      </c>
      <c r="H9">
        <f t="shared" si="0"/>
        <v>651.75</v>
      </c>
      <c r="K9" s="16" t="s">
        <v>16</v>
      </c>
      <c r="L9" s="17">
        <v>18925.319999999992</v>
      </c>
      <c r="M9" s="17">
        <v>134</v>
      </c>
      <c r="N9" s="17"/>
      <c r="O9" s="17"/>
      <c r="P9" s="17">
        <v>19897.659999999996</v>
      </c>
      <c r="Q9" s="17">
        <v>159</v>
      </c>
      <c r="R9" s="17">
        <v>393.74</v>
      </c>
      <c r="S9" s="17">
        <v>3</v>
      </c>
      <c r="T9" s="17">
        <v>39216.719999999987</v>
      </c>
      <c r="U9" s="17">
        <v>296</v>
      </c>
    </row>
    <row r="10" spans="1:21" x14ac:dyDescent="0.35">
      <c r="A10" s="1" t="s">
        <v>8</v>
      </c>
      <c r="B10" s="1" t="s">
        <v>37</v>
      </c>
      <c r="C10" s="1" t="s">
        <v>10</v>
      </c>
      <c r="D10" s="1">
        <v>5</v>
      </c>
      <c r="E10" s="2">
        <v>215.99</v>
      </c>
      <c r="F10" s="2">
        <v>116.99</v>
      </c>
      <c r="G10" s="2">
        <v>460.93</v>
      </c>
      <c r="H10">
        <f t="shared" si="0"/>
        <v>1079.95</v>
      </c>
      <c r="K10" s="16" t="s">
        <v>293</v>
      </c>
      <c r="L10" s="17">
        <v>3004058.2399999998</v>
      </c>
      <c r="M10" s="17">
        <v>11537</v>
      </c>
      <c r="N10" s="17">
        <v>184932.86</v>
      </c>
      <c r="O10" s="17">
        <v>480</v>
      </c>
      <c r="P10" s="17">
        <v>1440035.3399999999</v>
      </c>
      <c r="Q10" s="17">
        <v>9306</v>
      </c>
      <c r="R10" s="17">
        <v>23581.040000000005</v>
      </c>
      <c r="S10" s="17">
        <v>192</v>
      </c>
      <c r="T10" s="17">
        <v>4652607.4800000004</v>
      </c>
      <c r="U10" s="17">
        <v>21515</v>
      </c>
    </row>
    <row r="11" spans="1:21" x14ac:dyDescent="0.35">
      <c r="A11" s="1" t="s">
        <v>8</v>
      </c>
      <c r="B11" s="1" t="s">
        <v>38</v>
      </c>
      <c r="C11" s="1" t="s">
        <v>10</v>
      </c>
      <c r="D11" s="1">
        <v>18</v>
      </c>
      <c r="E11" s="2">
        <v>214.37</v>
      </c>
      <c r="F11" s="2">
        <v>81.13</v>
      </c>
      <c r="G11" s="2">
        <v>423.07</v>
      </c>
      <c r="H11">
        <f t="shared" si="0"/>
        <v>3858.66</v>
      </c>
    </row>
    <row r="12" spans="1:21" x14ac:dyDescent="0.35">
      <c r="A12" s="1" t="s">
        <v>8</v>
      </c>
      <c r="B12" s="1" t="s">
        <v>39</v>
      </c>
      <c r="C12" s="1" t="s">
        <v>10</v>
      </c>
      <c r="D12" s="1">
        <v>1</v>
      </c>
      <c r="E12" s="2">
        <v>202.06</v>
      </c>
      <c r="F12" s="2">
        <v>202.06</v>
      </c>
      <c r="G12" s="2">
        <v>202.06</v>
      </c>
      <c r="H12">
        <f t="shared" si="0"/>
        <v>202.06</v>
      </c>
    </row>
    <row r="13" spans="1:21" x14ac:dyDescent="0.35">
      <c r="A13" s="1" t="s">
        <v>8</v>
      </c>
      <c r="B13" s="1" t="s">
        <v>40</v>
      </c>
      <c r="C13" s="1" t="s">
        <v>10</v>
      </c>
      <c r="D13" s="1">
        <v>11</v>
      </c>
      <c r="E13" s="2">
        <v>200.53</v>
      </c>
      <c r="F13" s="2">
        <v>102.06</v>
      </c>
      <c r="G13" s="2">
        <v>744.67</v>
      </c>
      <c r="H13">
        <f t="shared" si="0"/>
        <v>2205.83</v>
      </c>
    </row>
    <row r="14" spans="1:21" x14ac:dyDescent="0.35">
      <c r="A14" s="1" t="s">
        <v>8</v>
      </c>
      <c r="B14" s="1" t="s">
        <v>41</v>
      </c>
      <c r="C14" s="1" t="s">
        <v>10</v>
      </c>
      <c r="D14" s="1">
        <v>2</v>
      </c>
      <c r="E14" s="2">
        <v>200.45</v>
      </c>
      <c r="F14" s="2">
        <v>127.01</v>
      </c>
      <c r="G14" s="2">
        <v>273.88</v>
      </c>
      <c r="H14">
        <f t="shared" si="0"/>
        <v>400.9</v>
      </c>
    </row>
    <row r="15" spans="1:21" x14ac:dyDescent="0.35">
      <c r="A15" s="1" t="s">
        <v>8</v>
      </c>
      <c r="B15" s="1" t="s">
        <v>42</v>
      </c>
      <c r="C15" s="1" t="s">
        <v>10</v>
      </c>
      <c r="D15" s="1">
        <v>6</v>
      </c>
      <c r="E15" s="2">
        <v>185.42</v>
      </c>
      <c r="F15" s="2">
        <v>94.55</v>
      </c>
      <c r="G15" s="2">
        <v>271.73</v>
      </c>
      <c r="H15">
        <f t="shared" si="0"/>
        <v>1112.52</v>
      </c>
    </row>
    <row r="16" spans="1:21" x14ac:dyDescent="0.35">
      <c r="A16" s="1" t="s">
        <v>8</v>
      </c>
      <c r="B16" s="1" t="s">
        <v>43</v>
      </c>
      <c r="C16" s="1" t="s">
        <v>10</v>
      </c>
      <c r="D16" s="1">
        <v>8</v>
      </c>
      <c r="E16" s="2">
        <v>181.97</v>
      </c>
      <c r="F16" s="2">
        <v>113.39</v>
      </c>
      <c r="G16" s="2">
        <v>309.73</v>
      </c>
      <c r="H16">
        <f t="shared" si="0"/>
        <v>1455.76</v>
      </c>
      <c r="K16" s="7"/>
    </row>
    <row r="17" spans="1:8" x14ac:dyDescent="0.35">
      <c r="A17" s="1" t="s">
        <v>8</v>
      </c>
      <c r="B17" s="1" t="s">
        <v>44</v>
      </c>
      <c r="C17" s="1" t="s">
        <v>10</v>
      </c>
      <c r="D17" s="1">
        <v>1</v>
      </c>
      <c r="E17" s="2">
        <v>180.82</v>
      </c>
      <c r="F17" s="2">
        <v>180.82</v>
      </c>
      <c r="G17" s="2">
        <v>180.82</v>
      </c>
      <c r="H17">
        <f t="shared" si="0"/>
        <v>180.82</v>
      </c>
    </row>
    <row r="18" spans="1:8" x14ac:dyDescent="0.35">
      <c r="A18" s="1" t="s">
        <v>8</v>
      </c>
      <c r="B18" s="1" t="s">
        <v>45</v>
      </c>
      <c r="C18" s="1" t="s">
        <v>10</v>
      </c>
      <c r="D18" s="1">
        <v>4</v>
      </c>
      <c r="E18" s="2">
        <v>180.15</v>
      </c>
      <c r="F18" s="2">
        <v>85.24</v>
      </c>
      <c r="G18" s="2">
        <v>247.07</v>
      </c>
      <c r="H18">
        <f t="shared" si="0"/>
        <v>720.6</v>
      </c>
    </row>
    <row r="19" spans="1:8" x14ac:dyDescent="0.35">
      <c r="A19" s="1" t="s">
        <v>8</v>
      </c>
      <c r="B19" s="1" t="s">
        <v>46</v>
      </c>
      <c r="C19" s="1" t="s">
        <v>10</v>
      </c>
      <c r="D19" s="1">
        <v>20</v>
      </c>
      <c r="E19" s="2">
        <v>179.54</v>
      </c>
      <c r="F19" s="2">
        <v>113.97</v>
      </c>
      <c r="G19" s="2">
        <v>365.04</v>
      </c>
      <c r="H19">
        <f t="shared" si="0"/>
        <v>3590.7999999999997</v>
      </c>
    </row>
    <row r="20" spans="1:8" x14ac:dyDescent="0.35">
      <c r="A20" s="1" t="s">
        <v>8</v>
      </c>
      <c r="B20" s="1" t="s">
        <v>47</v>
      </c>
      <c r="C20" s="1" t="s">
        <v>10</v>
      </c>
      <c r="D20" s="1">
        <v>18</v>
      </c>
      <c r="E20" s="2">
        <v>179.14</v>
      </c>
      <c r="F20" s="2">
        <v>86.82</v>
      </c>
      <c r="G20" s="2">
        <v>354.33</v>
      </c>
      <c r="H20">
        <f t="shared" si="0"/>
        <v>3224.5199999999995</v>
      </c>
    </row>
    <row r="21" spans="1:8" x14ac:dyDescent="0.35">
      <c r="A21" s="1" t="s">
        <v>8</v>
      </c>
      <c r="B21" s="1" t="s">
        <v>48</v>
      </c>
      <c r="C21" s="1" t="s">
        <v>10</v>
      </c>
      <c r="D21" s="1">
        <v>9</v>
      </c>
      <c r="E21" s="2">
        <v>175.24</v>
      </c>
      <c r="F21" s="2">
        <v>65.27</v>
      </c>
      <c r="G21" s="2">
        <v>379.14</v>
      </c>
      <c r="H21">
        <f t="shared" si="0"/>
        <v>1577.16</v>
      </c>
    </row>
    <row r="22" spans="1:8" x14ac:dyDescent="0.35">
      <c r="A22" s="1" t="s">
        <v>8</v>
      </c>
      <c r="B22" s="1" t="s">
        <v>49</v>
      </c>
      <c r="C22" s="1" t="s">
        <v>10</v>
      </c>
      <c r="D22" s="1">
        <v>4</v>
      </c>
      <c r="E22" s="2">
        <v>172.65</v>
      </c>
      <c r="F22" s="2">
        <v>104.08</v>
      </c>
      <c r="G22" s="2">
        <v>307.87</v>
      </c>
      <c r="H22">
        <f t="shared" si="0"/>
        <v>690.6</v>
      </c>
    </row>
    <row r="23" spans="1:8" x14ac:dyDescent="0.35">
      <c r="A23" s="1" t="s">
        <v>8</v>
      </c>
      <c r="B23" s="1" t="s">
        <v>50</v>
      </c>
      <c r="C23" s="1" t="s">
        <v>10</v>
      </c>
      <c r="D23" s="1">
        <v>9</v>
      </c>
      <c r="E23" s="2">
        <v>172.57</v>
      </c>
      <c r="F23" s="2">
        <v>96.61</v>
      </c>
      <c r="G23" s="2">
        <v>364</v>
      </c>
      <c r="H23">
        <f t="shared" si="0"/>
        <v>1553.1299999999999</v>
      </c>
    </row>
    <row r="24" spans="1:8" x14ac:dyDescent="0.35">
      <c r="A24" s="1" t="s">
        <v>8</v>
      </c>
      <c r="B24" s="1" t="s">
        <v>51</v>
      </c>
      <c r="C24" s="1" t="s">
        <v>10</v>
      </c>
      <c r="D24" s="1">
        <v>3</v>
      </c>
      <c r="E24" s="2">
        <v>170.54</v>
      </c>
      <c r="F24" s="2">
        <v>115.04</v>
      </c>
      <c r="G24" s="2">
        <v>251.06</v>
      </c>
      <c r="H24">
        <f t="shared" si="0"/>
        <v>511.62</v>
      </c>
    </row>
    <row r="25" spans="1:8" x14ac:dyDescent="0.35">
      <c r="A25" s="1" t="s">
        <v>8</v>
      </c>
      <c r="B25" s="1" t="s">
        <v>52</v>
      </c>
      <c r="C25" s="1" t="s">
        <v>10</v>
      </c>
      <c r="D25" s="1">
        <v>19</v>
      </c>
      <c r="E25" s="2">
        <v>169.66</v>
      </c>
      <c r="F25" s="2">
        <v>70.430000000000007</v>
      </c>
      <c r="G25" s="2">
        <v>573.92999999999995</v>
      </c>
      <c r="H25">
        <f t="shared" si="0"/>
        <v>3223.54</v>
      </c>
    </row>
    <row r="26" spans="1:8" x14ac:dyDescent="0.35">
      <c r="A26" s="1" t="s">
        <v>8</v>
      </c>
      <c r="B26" s="1" t="s">
        <v>53</v>
      </c>
      <c r="C26" s="1" t="s">
        <v>10</v>
      </c>
      <c r="D26" s="1">
        <v>13</v>
      </c>
      <c r="E26" s="2">
        <v>168.52</v>
      </c>
      <c r="F26" s="2">
        <v>77.12</v>
      </c>
      <c r="G26" s="2">
        <v>861.9</v>
      </c>
      <c r="H26">
        <f t="shared" si="0"/>
        <v>2190.7600000000002</v>
      </c>
    </row>
    <row r="27" spans="1:8" x14ac:dyDescent="0.35">
      <c r="A27" s="1" t="s">
        <v>8</v>
      </c>
      <c r="B27" s="1" t="s">
        <v>54</v>
      </c>
      <c r="C27" s="1" t="s">
        <v>10</v>
      </c>
      <c r="D27" s="1">
        <v>6</v>
      </c>
      <c r="E27" s="2">
        <v>161.85</v>
      </c>
      <c r="F27" s="2">
        <v>100.15</v>
      </c>
      <c r="G27" s="2">
        <v>226.62</v>
      </c>
      <c r="H27">
        <f t="shared" si="0"/>
        <v>971.09999999999991</v>
      </c>
    </row>
    <row r="28" spans="1:8" x14ac:dyDescent="0.35">
      <c r="A28" s="1" t="s">
        <v>8</v>
      </c>
      <c r="B28" s="1" t="s">
        <v>55</v>
      </c>
      <c r="C28" s="1" t="s">
        <v>10</v>
      </c>
      <c r="D28" s="1">
        <v>4</v>
      </c>
      <c r="E28" s="2">
        <v>160.04</v>
      </c>
      <c r="F28" s="2">
        <v>115.83</v>
      </c>
      <c r="G28" s="2">
        <v>194</v>
      </c>
      <c r="H28">
        <f t="shared" si="0"/>
        <v>640.16</v>
      </c>
    </row>
    <row r="29" spans="1:8" x14ac:dyDescent="0.35">
      <c r="A29" s="1" t="s">
        <v>8</v>
      </c>
      <c r="B29" s="1" t="s">
        <v>56</v>
      </c>
      <c r="C29" s="1" t="s">
        <v>10</v>
      </c>
      <c r="D29" s="1">
        <v>2</v>
      </c>
      <c r="E29" s="2">
        <v>155.44999999999999</v>
      </c>
      <c r="F29" s="2">
        <v>134.62</v>
      </c>
      <c r="G29" s="2">
        <v>176.27</v>
      </c>
      <c r="H29">
        <f t="shared" si="0"/>
        <v>310.89999999999998</v>
      </c>
    </row>
    <row r="30" spans="1:8" x14ac:dyDescent="0.35">
      <c r="A30" s="1" t="s">
        <v>8</v>
      </c>
      <c r="B30" s="1" t="s">
        <v>57</v>
      </c>
      <c r="C30" s="1" t="s">
        <v>10</v>
      </c>
      <c r="D30" s="1">
        <v>8</v>
      </c>
      <c r="E30" s="2">
        <v>155.08000000000001</v>
      </c>
      <c r="F30" s="2">
        <v>84.1</v>
      </c>
      <c r="G30" s="2">
        <v>336.65</v>
      </c>
      <c r="H30">
        <f t="shared" si="0"/>
        <v>1240.6400000000001</v>
      </c>
    </row>
    <row r="31" spans="1:8" x14ac:dyDescent="0.35">
      <c r="A31" s="1" t="s">
        <v>8</v>
      </c>
      <c r="B31" s="1" t="s">
        <v>58</v>
      </c>
      <c r="C31" s="1" t="s">
        <v>10</v>
      </c>
      <c r="D31" s="1">
        <v>7</v>
      </c>
      <c r="E31" s="2">
        <v>155.06</v>
      </c>
      <c r="F31" s="2">
        <v>82.74</v>
      </c>
      <c r="G31" s="2">
        <v>402.3</v>
      </c>
      <c r="H31">
        <f t="shared" si="0"/>
        <v>1085.42</v>
      </c>
    </row>
    <row r="32" spans="1:8" x14ac:dyDescent="0.35">
      <c r="A32" s="1" t="s">
        <v>8</v>
      </c>
      <c r="B32" s="1" t="s">
        <v>59</v>
      </c>
      <c r="C32" s="1" t="s">
        <v>10</v>
      </c>
      <c r="D32" s="1">
        <v>9</v>
      </c>
      <c r="E32" s="2">
        <v>145.6</v>
      </c>
      <c r="F32" s="2">
        <v>59.3</v>
      </c>
      <c r="G32" s="2">
        <v>377.21</v>
      </c>
      <c r="H32">
        <f t="shared" si="0"/>
        <v>1310.3999999999999</v>
      </c>
    </row>
    <row r="33" spans="1:8" x14ac:dyDescent="0.35">
      <c r="A33" s="1" t="s">
        <v>8</v>
      </c>
      <c r="B33" s="1" t="s">
        <v>60</v>
      </c>
      <c r="C33" s="1" t="s">
        <v>10</v>
      </c>
      <c r="D33" s="1">
        <v>3</v>
      </c>
      <c r="E33" s="2">
        <v>144.59</v>
      </c>
      <c r="F33" s="2">
        <v>88.5</v>
      </c>
      <c r="G33" s="2">
        <v>221.24</v>
      </c>
      <c r="H33">
        <f t="shared" si="0"/>
        <v>433.77</v>
      </c>
    </row>
    <row r="34" spans="1:8" x14ac:dyDescent="0.35">
      <c r="A34" s="1" t="s">
        <v>8</v>
      </c>
      <c r="B34" s="1" t="s">
        <v>61</v>
      </c>
      <c r="C34" s="1" t="s">
        <v>10</v>
      </c>
      <c r="D34" s="1">
        <v>9</v>
      </c>
      <c r="E34" s="2">
        <v>143.71</v>
      </c>
      <c r="F34" s="2">
        <v>93.01</v>
      </c>
      <c r="G34" s="2">
        <v>244.47</v>
      </c>
      <c r="H34">
        <f t="shared" si="0"/>
        <v>1293.3900000000001</v>
      </c>
    </row>
    <row r="35" spans="1:8" x14ac:dyDescent="0.35">
      <c r="A35" s="1" t="s">
        <v>8</v>
      </c>
      <c r="B35" s="1" t="s">
        <v>62</v>
      </c>
      <c r="C35" s="1" t="s">
        <v>10</v>
      </c>
      <c r="D35" s="1">
        <v>7</v>
      </c>
      <c r="E35" s="2">
        <v>141.74</v>
      </c>
      <c r="F35" s="2">
        <v>109.76</v>
      </c>
      <c r="G35" s="2">
        <v>221.27</v>
      </c>
      <c r="H35">
        <f t="shared" si="0"/>
        <v>992.18000000000006</v>
      </c>
    </row>
    <row r="36" spans="1:8" x14ac:dyDescent="0.35">
      <c r="A36" s="1" t="s">
        <v>8</v>
      </c>
      <c r="B36" s="1" t="s">
        <v>63</v>
      </c>
      <c r="C36" s="1" t="s">
        <v>10</v>
      </c>
      <c r="D36" s="1">
        <v>4</v>
      </c>
      <c r="E36" s="2">
        <v>140.62</v>
      </c>
      <c r="F36" s="2">
        <v>121.7</v>
      </c>
      <c r="G36" s="2">
        <v>169.91</v>
      </c>
      <c r="H36">
        <f t="shared" si="0"/>
        <v>562.48</v>
      </c>
    </row>
    <row r="37" spans="1:8" x14ac:dyDescent="0.35">
      <c r="A37" s="1" t="s">
        <v>8</v>
      </c>
      <c r="B37" s="1" t="s">
        <v>64</v>
      </c>
      <c r="C37" s="1" t="s">
        <v>10</v>
      </c>
      <c r="D37" s="1">
        <v>3</v>
      </c>
      <c r="E37" s="2">
        <v>137.63</v>
      </c>
      <c r="F37" s="2">
        <v>1</v>
      </c>
      <c r="G37" s="2">
        <v>286</v>
      </c>
      <c r="H37">
        <f t="shared" si="0"/>
        <v>412.89</v>
      </c>
    </row>
    <row r="38" spans="1:8" x14ac:dyDescent="0.35">
      <c r="A38" s="1" t="s">
        <v>8</v>
      </c>
      <c r="B38" s="1" t="s">
        <v>65</v>
      </c>
      <c r="C38" s="1" t="s">
        <v>10</v>
      </c>
      <c r="D38" s="1">
        <v>5</v>
      </c>
      <c r="E38" s="2">
        <v>130.71</v>
      </c>
      <c r="F38" s="2">
        <v>79.900000000000006</v>
      </c>
      <c r="G38" s="2">
        <v>282.08</v>
      </c>
      <c r="H38">
        <f t="shared" si="0"/>
        <v>653.55000000000007</v>
      </c>
    </row>
    <row r="39" spans="1:8" x14ac:dyDescent="0.35">
      <c r="A39" s="1" t="s">
        <v>8</v>
      </c>
      <c r="B39" s="1" t="s">
        <v>66</v>
      </c>
      <c r="C39" s="1" t="s">
        <v>10</v>
      </c>
      <c r="D39" s="1">
        <v>6</v>
      </c>
      <c r="E39" s="2">
        <v>126.32</v>
      </c>
      <c r="F39" s="2">
        <v>82.92</v>
      </c>
      <c r="G39" s="2">
        <v>265.48</v>
      </c>
      <c r="H39">
        <f t="shared" si="0"/>
        <v>757.92</v>
      </c>
    </row>
    <row r="40" spans="1:8" x14ac:dyDescent="0.35">
      <c r="A40" s="1" t="s">
        <v>8</v>
      </c>
      <c r="B40" s="1" t="s">
        <v>67</v>
      </c>
      <c r="C40" s="1" t="s">
        <v>10</v>
      </c>
      <c r="D40" s="1">
        <v>7</v>
      </c>
      <c r="E40" s="2">
        <v>124.83</v>
      </c>
      <c r="F40" s="2">
        <v>66.069999999999993</v>
      </c>
      <c r="G40" s="2">
        <v>171.64</v>
      </c>
      <c r="H40">
        <f t="shared" si="0"/>
        <v>873.81</v>
      </c>
    </row>
    <row r="41" spans="1:8" x14ac:dyDescent="0.35">
      <c r="A41" s="1" t="s">
        <v>8</v>
      </c>
      <c r="B41" s="1" t="s">
        <v>68</v>
      </c>
      <c r="C41" s="1" t="s">
        <v>10</v>
      </c>
      <c r="D41" s="1">
        <v>2</v>
      </c>
      <c r="E41" s="2">
        <v>124.44</v>
      </c>
      <c r="F41" s="2">
        <v>96.48</v>
      </c>
      <c r="G41" s="2">
        <v>152.38999999999999</v>
      </c>
      <c r="H41">
        <f t="shared" si="0"/>
        <v>248.88</v>
      </c>
    </row>
    <row r="42" spans="1:8" x14ac:dyDescent="0.35">
      <c r="A42" s="1" t="s">
        <v>8</v>
      </c>
      <c r="B42" s="1" t="s">
        <v>69</v>
      </c>
      <c r="C42" s="1" t="s">
        <v>10</v>
      </c>
      <c r="D42" s="1">
        <v>3</v>
      </c>
      <c r="E42" s="2">
        <v>119.07</v>
      </c>
      <c r="F42" s="2">
        <v>59.17</v>
      </c>
      <c r="G42" s="2">
        <v>166.33</v>
      </c>
      <c r="H42">
        <f t="shared" si="0"/>
        <v>357.21</v>
      </c>
    </row>
    <row r="43" spans="1:8" x14ac:dyDescent="0.35">
      <c r="A43" s="1" t="s">
        <v>8</v>
      </c>
      <c r="B43" s="1" t="s">
        <v>70</v>
      </c>
      <c r="C43" s="1" t="s">
        <v>10</v>
      </c>
      <c r="D43" s="1">
        <v>1</v>
      </c>
      <c r="E43" s="2">
        <v>118.93</v>
      </c>
      <c r="F43" s="2">
        <v>118.93</v>
      </c>
      <c r="G43" s="2">
        <v>118.93</v>
      </c>
      <c r="H43">
        <f t="shared" si="0"/>
        <v>118.93</v>
      </c>
    </row>
    <row r="44" spans="1:8" x14ac:dyDescent="0.35">
      <c r="A44" s="1" t="s">
        <v>8</v>
      </c>
      <c r="B44" s="1" t="s">
        <v>71</v>
      </c>
      <c r="C44" s="1" t="s">
        <v>10</v>
      </c>
      <c r="D44" s="1">
        <v>2</v>
      </c>
      <c r="E44" s="2">
        <v>117.84</v>
      </c>
      <c r="F44" s="2">
        <v>104.77</v>
      </c>
      <c r="G44" s="2">
        <v>130.9</v>
      </c>
      <c r="H44">
        <f t="shared" si="0"/>
        <v>235.68</v>
      </c>
    </row>
    <row r="45" spans="1:8" x14ac:dyDescent="0.35">
      <c r="A45" s="1" t="s">
        <v>8</v>
      </c>
      <c r="B45" s="1" t="s">
        <v>72</v>
      </c>
      <c r="C45" s="1" t="s">
        <v>10</v>
      </c>
      <c r="D45" s="1">
        <v>2</v>
      </c>
      <c r="E45" s="2">
        <v>116.71</v>
      </c>
      <c r="F45" s="2">
        <v>74.41</v>
      </c>
      <c r="G45" s="2">
        <v>159.01</v>
      </c>
      <c r="H45">
        <f t="shared" si="0"/>
        <v>233.42</v>
      </c>
    </row>
    <row r="46" spans="1:8" x14ac:dyDescent="0.35">
      <c r="A46" s="1" t="s">
        <v>8</v>
      </c>
      <c r="B46" s="1" t="s">
        <v>73</v>
      </c>
      <c r="C46" s="1" t="s">
        <v>10</v>
      </c>
      <c r="D46" s="1">
        <v>7</v>
      </c>
      <c r="E46" s="2">
        <v>113.8</v>
      </c>
      <c r="F46" s="2">
        <v>42.4</v>
      </c>
      <c r="G46" s="2">
        <v>286</v>
      </c>
      <c r="H46">
        <f t="shared" si="0"/>
        <v>796.6</v>
      </c>
    </row>
    <row r="47" spans="1:8" x14ac:dyDescent="0.35">
      <c r="A47" s="1" t="s">
        <v>8</v>
      </c>
      <c r="B47" s="1" t="s">
        <v>74</v>
      </c>
      <c r="C47" s="1" t="s">
        <v>10</v>
      </c>
      <c r="D47" s="1">
        <v>15</v>
      </c>
      <c r="E47" s="2">
        <v>111.8</v>
      </c>
      <c r="F47" s="2">
        <v>61.03</v>
      </c>
      <c r="G47" s="2">
        <v>165.37</v>
      </c>
      <c r="H47">
        <f t="shared" si="0"/>
        <v>1677</v>
      </c>
    </row>
    <row r="48" spans="1:8" x14ac:dyDescent="0.35">
      <c r="A48" s="1" t="s">
        <v>8</v>
      </c>
      <c r="B48" s="1" t="s">
        <v>75</v>
      </c>
      <c r="C48" s="1" t="s">
        <v>10</v>
      </c>
      <c r="D48" s="1">
        <v>2</v>
      </c>
      <c r="E48" s="2">
        <v>103.99</v>
      </c>
      <c r="F48" s="2">
        <v>97.34</v>
      </c>
      <c r="G48" s="2">
        <v>110.63</v>
      </c>
      <c r="H48">
        <f t="shared" si="0"/>
        <v>207.98</v>
      </c>
    </row>
    <row r="49" spans="1:8" x14ac:dyDescent="0.35">
      <c r="A49" s="1" t="s">
        <v>8</v>
      </c>
      <c r="B49" s="1" t="s">
        <v>76</v>
      </c>
      <c r="C49" s="1" t="s">
        <v>10</v>
      </c>
      <c r="D49" s="1">
        <v>2</v>
      </c>
      <c r="E49" s="2">
        <v>89.8</v>
      </c>
      <c r="F49" s="2">
        <v>81.5</v>
      </c>
      <c r="G49" s="2">
        <v>98.1</v>
      </c>
      <c r="H49">
        <f t="shared" si="0"/>
        <v>179.6</v>
      </c>
    </row>
    <row r="50" spans="1:8" x14ac:dyDescent="0.35">
      <c r="A50" s="1" t="s">
        <v>8</v>
      </c>
      <c r="B50" s="1" t="s">
        <v>77</v>
      </c>
      <c r="C50" s="1" t="s">
        <v>10</v>
      </c>
      <c r="D50" s="1">
        <v>4</v>
      </c>
      <c r="E50" s="2">
        <v>80.7</v>
      </c>
      <c r="F50" s="2">
        <v>1</v>
      </c>
      <c r="G50" s="2">
        <v>122.23</v>
      </c>
      <c r="H50">
        <f t="shared" si="0"/>
        <v>322.8</v>
      </c>
    </row>
    <row r="51" spans="1:8" x14ac:dyDescent="0.35">
      <c r="A51" s="1" t="s">
        <v>8</v>
      </c>
      <c r="B51" s="1" t="s">
        <v>78</v>
      </c>
      <c r="C51" s="1" t="s">
        <v>10</v>
      </c>
      <c r="D51" s="1">
        <v>2</v>
      </c>
      <c r="E51" s="2">
        <v>60.35</v>
      </c>
      <c r="F51" s="2">
        <v>3</v>
      </c>
      <c r="G51" s="2">
        <v>117.7</v>
      </c>
      <c r="H51">
        <f t="shared" si="0"/>
        <v>120.7</v>
      </c>
    </row>
    <row r="52" spans="1:8" x14ac:dyDescent="0.35">
      <c r="A52" s="1" t="s">
        <v>12</v>
      </c>
      <c r="B52" s="1" t="s">
        <v>79</v>
      </c>
      <c r="C52" s="1" t="s">
        <v>10</v>
      </c>
      <c r="D52" s="1">
        <v>14</v>
      </c>
      <c r="E52" s="2">
        <v>445.03</v>
      </c>
      <c r="F52" s="2">
        <v>217.92</v>
      </c>
      <c r="G52" s="2">
        <v>977</v>
      </c>
      <c r="H52">
        <f t="shared" si="0"/>
        <v>6230.42</v>
      </c>
    </row>
    <row r="53" spans="1:8" x14ac:dyDescent="0.35">
      <c r="A53" s="1" t="s">
        <v>12</v>
      </c>
      <c r="B53" s="1" t="s">
        <v>80</v>
      </c>
      <c r="C53" s="1" t="s">
        <v>10</v>
      </c>
      <c r="D53" s="1">
        <v>47</v>
      </c>
      <c r="E53" s="2">
        <v>337.53</v>
      </c>
      <c r="F53" s="2">
        <v>1</v>
      </c>
      <c r="G53" s="2">
        <v>846.37</v>
      </c>
      <c r="H53">
        <f t="shared" si="0"/>
        <v>15863.909999999998</v>
      </c>
    </row>
    <row r="54" spans="1:8" x14ac:dyDescent="0.35">
      <c r="A54" s="1" t="s">
        <v>12</v>
      </c>
      <c r="B54" s="1" t="s">
        <v>81</v>
      </c>
      <c r="C54" s="1" t="s">
        <v>10</v>
      </c>
      <c r="D54" s="1">
        <v>2</v>
      </c>
      <c r="E54" s="2">
        <v>336.47</v>
      </c>
      <c r="F54" s="2">
        <v>335.87</v>
      </c>
      <c r="G54" s="2">
        <v>337.06</v>
      </c>
      <c r="H54">
        <f t="shared" si="0"/>
        <v>672.94</v>
      </c>
    </row>
    <row r="55" spans="1:8" x14ac:dyDescent="0.35">
      <c r="A55" s="1" t="s">
        <v>12</v>
      </c>
      <c r="B55" s="1" t="s">
        <v>82</v>
      </c>
      <c r="C55" s="1" t="s">
        <v>10</v>
      </c>
      <c r="D55" s="1">
        <v>17</v>
      </c>
      <c r="E55" s="2">
        <v>332.25</v>
      </c>
      <c r="F55" s="2">
        <v>103.73</v>
      </c>
      <c r="G55" s="2">
        <v>754.85</v>
      </c>
      <c r="H55">
        <f t="shared" si="0"/>
        <v>5648.25</v>
      </c>
    </row>
    <row r="56" spans="1:8" x14ac:dyDescent="0.35">
      <c r="A56" s="1" t="s">
        <v>12</v>
      </c>
      <c r="B56" s="1" t="s">
        <v>83</v>
      </c>
      <c r="C56" s="1" t="s">
        <v>10</v>
      </c>
      <c r="D56" s="1">
        <v>191</v>
      </c>
      <c r="E56" s="2">
        <v>328.43</v>
      </c>
      <c r="F56" s="2">
        <v>1</v>
      </c>
      <c r="G56" s="2">
        <v>925</v>
      </c>
      <c r="H56">
        <f t="shared" si="0"/>
        <v>62730.130000000005</v>
      </c>
    </row>
    <row r="57" spans="1:8" x14ac:dyDescent="0.35">
      <c r="A57" s="1" t="s">
        <v>12</v>
      </c>
      <c r="B57" s="1" t="s">
        <v>84</v>
      </c>
      <c r="C57" s="1" t="s">
        <v>10</v>
      </c>
      <c r="D57" s="1">
        <v>24</v>
      </c>
      <c r="E57" s="2">
        <v>299.70999999999998</v>
      </c>
      <c r="F57" s="2">
        <v>9</v>
      </c>
      <c r="G57" s="2">
        <v>710.57</v>
      </c>
      <c r="H57">
        <f t="shared" si="0"/>
        <v>7193.0399999999991</v>
      </c>
    </row>
    <row r="58" spans="1:8" x14ac:dyDescent="0.35">
      <c r="A58" s="1" t="s">
        <v>12</v>
      </c>
      <c r="B58" s="1" t="s">
        <v>85</v>
      </c>
      <c r="C58" s="1" t="s">
        <v>10</v>
      </c>
      <c r="D58" s="1">
        <v>55</v>
      </c>
      <c r="E58" s="2">
        <v>296.10000000000002</v>
      </c>
      <c r="F58" s="2">
        <v>1</v>
      </c>
      <c r="G58" s="2">
        <v>927.69</v>
      </c>
      <c r="H58">
        <f t="shared" si="0"/>
        <v>16285.500000000002</v>
      </c>
    </row>
    <row r="59" spans="1:8" x14ac:dyDescent="0.35">
      <c r="A59" s="1" t="s">
        <v>12</v>
      </c>
      <c r="B59" s="1" t="s">
        <v>86</v>
      </c>
      <c r="C59" s="1" t="s">
        <v>10</v>
      </c>
      <c r="D59" s="1">
        <v>11</v>
      </c>
      <c r="E59" s="2">
        <v>295.33999999999997</v>
      </c>
      <c r="F59" s="2">
        <v>1</v>
      </c>
      <c r="G59" s="2">
        <v>755.89</v>
      </c>
      <c r="H59">
        <f t="shared" si="0"/>
        <v>3248.74</v>
      </c>
    </row>
    <row r="60" spans="1:8" x14ac:dyDescent="0.35">
      <c r="A60" s="1" t="s">
        <v>12</v>
      </c>
      <c r="B60" s="1" t="s">
        <v>87</v>
      </c>
      <c r="C60" s="1" t="s">
        <v>10</v>
      </c>
      <c r="D60" s="1">
        <v>97</v>
      </c>
      <c r="E60" s="2">
        <v>293.38</v>
      </c>
      <c r="F60" s="2">
        <v>1</v>
      </c>
      <c r="G60" s="2">
        <v>967.54</v>
      </c>
      <c r="H60">
        <f t="shared" si="0"/>
        <v>28457.86</v>
      </c>
    </row>
    <row r="61" spans="1:8" x14ac:dyDescent="0.35">
      <c r="A61" s="1" t="s">
        <v>12</v>
      </c>
      <c r="B61" s="1" t="s">
        <v>88</v>
      </c>
      <c r="C61" s="1" t="s">
        <v>10</v>
      </c>
      <c r="D61" s="1">
        <v>53</v>
      </c>
      <c r="E61" s="2">
        <v>287.85000000000002</v>
      </c>
      <c r="F61" s="2">
        <v>1</v>
      </c>
      <c r="G61" s="2">
        <v>880.15</v>
      </c>
      <c r="H61">
        <f t="shared" si="0"/>
        <v>15256.050000000001</v>
      </c>
    </row>
    <row r="62" spans="1:8" x14ac:dyDescent="0.35">
      <c r="A62" s="1" t="s">
        <v>12</v>
      </c>
      <c r="B62" s="1" t="s">
        <v>89</v>
      </c>
      <c r="C62" s="1" t="s">
        <v>10</v>
      </c>
      <c r="D62" s="1">
        <v>99</v>
      </c>
      <c r="E62" s="2">
        <v>285.75</v>
      </c>
      <c r="F62" s="2">
        <v>1</v>
      </c>
      <c r="G62" s="2">
        <v>884.97</v>
      </c>
      <c r="H62">
        <f t="shared" si="0"/>
        <v>28289.25</v>
      </c>
    </row>
    <row r="63" spans="1:8" x14ac:dyDescent="0.35">
      <c r="A63" s="1" t="s">
        <v>12</v>
      </c>
      <c r="B63" s="1" t="s">
        <v>90</v>
      </c>
      <c r="C63" s="1" t="s">
        <v>10</v>
      </c>
      <c r="D63" s="1">
        <v>441</v>
      </c>
      <c r="E63" s="2">
        <v>277.17</v>
      </c>
      <c r="F63" s="2">
        <v>1</v>
      </c>
      <c r="G63" s="2">
        <v>986.34</v>
      </c>
      <c r="H63">
        <f t="shared" si="0"/>
        <v>122231.97</v>
      </c>
    </row>
    <row r="64" spans="1:8" x14ac:dyDescent="0.35">
      <c r="A64" s="1" t="s">
        <v>12</v>
      </c>
      <c r="B64" s="1" t="s">
        <v>91</v>
      </c>
      <c r="C64" s="1" t="s">
        <v>10</v>
      </c>
      <c r="D64" s="1">
        <v>6</v>
      </c>
      <c r="E64" s="2">
        <v>275.7</v>
      </c>
      <c r="F64" s="2">
        <v>1</v>
      </c>
      <c r="G64" s="2">
        <v>938.48</v>
      </c>
      <c r="H64">
        <f t="shared" si="0"/>
        <v>1654.1999999999998</v>
      </c>
    </row>
    <row r="65" spans="1:8" x14ac:dyDescent="0.35">
      <c r="A65" s="1" t="s">
        <v>12</v>
      </c>
      <c r="B65" s="1" t="s">
        <v>92</v>
      </c>
      <c r="C65" s="1" t="s">
        <v>10</v>
      </c>
      <c r="D65" s="1">
        <v>44</v>
      </c>
      <c r="E65" s="2">
        <v>274.85000000000002</v>
      </c>
      <c r="F65" s="2">
        <v>1</v>
      </c>
      <c r="G65" s="2">
        <v>805.76</v>
      </c>
      <c r="H65">
        <f t="shared" si="0"/>
        <v>12093.400000000001</v>
      </c>
    </row>
    <row r="66" spans="1:8" x14ac:dyDescent="0.35">
      <c r="A66" s="1" t="s">
        <v>12</v>
      </c>
      <c r="B66" s="1" t="s">
        <v>93</v>
      </c>
      <c r="C66" s="1" t="s">
        <v>10</v>
      </c>
      <c r="D66" s="1">
        <v>18</v>
      </c>
      <c r="E66" s="2">
        <v>266.88</v>
      </c>
      <c r="F66" s="2">
        <v>21.81</v>
      </c>
      <c r="G66" s="2">
        <v>556.79999999999995</v>
      </c>
      <c r="H66">
        <f t="shared" si="0"/>
        <v>4803.84</v>
      </c>
    </row>
    <row r="67" spans="1:8" x14ac:dyDescent="0.35">
      <c r="A67" s="1" t="s">
        <v>12</v>
      </c>
      <c r="B67" s="1" t="s">
        <v>94</v>
      </c>
      <c r="C67" s="1" t="s">
        <v>10</v>
      </c>
      <c r="D67" s="1">
        <v>343</v>
      </c>
      <c r="E67" s="2">
        <v>248.04</v>
      </c>
      <c r="F67" s="2">
        <v>1</v>
      </c>
      <c r="G67" s="2">
        <v>970</v>
      </c>
      <c r="H67">
        <f t="shared" si="0"/>
        <v>85077.72</v>
      </c>
    </row>
    <row r="68" spans="1:8" x14ac:dyDescent="0.35">
      <c r="A68" s="1" t="s">
        <v>12</v>
      </c>
      <c r="B68" s="1" t="s">
        <v>95</v>
      </c>
      <c r="C68" s="1" t="s">
        <v>10</v>
      </c>
      <c r="D68" s="1">
        <v>7</v>
      </c>
      <c r="E68" s="2">
        <v>245.71</v>
      </c>
      <c r="F68" s="2">
        <v>65.819999999999993</v>
      </c>
      <c r="G68" s="2">
        <v>565.99</v>
      </c>
      <c r="H68">
        <f t="shared" ref="H68:H131" si="1">E68*D68</f>
        <v>1719.97</v>
      </c>
    </row>
    <row r="69" spans="1:8" x14ac:dyDescent="0.35">
      <c r="A69" s="1" t="s">
        <v>12</v>
      </c>
      <c r="B69" s="1" t="s">
        <v>96</v>
      </c>
      <c r="C69" s="1" t="s">
        <v>10</v>
      </c>
      <c r="D69" s="1">
        <v>67</v>
      </c>
      <c r="E69" s="2">
        <v>244.71</v>
      </c>
      <c r="F69" s="2">
        <v>4</v>
      </c>
      <c r="G69" s="2">
        <v>771.23</v>
      </c>
      <c r="H69">
        <f t="shared" si="1"/>
        <v>16395.57</v>
      </c>
    </row>
    <row r="70" spans="1:8" x14ac:dyDescent="0.35">
      <c r="A70" s="1" t="s">
        <v>12</v>
      </c>
      <c r="B70" s="1" t="s">
        <v>97</v>
      </c>
      <c r="C70" s="1" t="s">
        <v>10</v>
      </c>
      <c r="D70" s="1">
        <v>58</v>
      </c>
      <c r="E70" s="2">
        <v>240.6</v>
      </c>
      <c r="F70" s="2">
        <v>1</v>
      </c>
      <c r="G70" s="2">
        <v>805</v>
      </c>
      <c r="H70">
        <f t="shared" si="1"/>
        <v>13954.8</v>
      </c>
    </row>
    <row r="71" spans="1:8" x14ac:dyDescent="0.35">
      <c r="A71" s="1" t="s">
        <v>12</v>
      </c>
      <c r="B71" s="1" t="s">
        <v>98</v>
      </c>
      <c r="C71" s="1" t="s">
        <v>10</v>
      </c>
      <c r="D71" s="1">
        <v>24</v>
      </c>
      <c r="E71" s="2">
        <v>238.27</v>
      </c>
      <c r="F71" s="2">
        <v>1</v>
      </c>
      <c r="G71" s="2">
        <v>610.63</v>
      </c>
      <c r="H71">
        <f t="shared" si="1"/>
        <v>5718.4800000000005</v>
      </c>
    </row>
    <row r="72" spans="1:8" x14ac:dyDescent="0.35">
      <c r="A72" s="1" t="s">
        <v>12</v>
      </c>
      <c r="B72" s="1" t="s">
        <v>99</v>
      </c>
      <c r="C72" s="1" t="s">
        <v>10</v>
      </c>
      <c r="D72" s="1">
        <v>79</v>
      </c>
      <c r="E72" s="2">
        <v>235.17</v>
      </c>
      <c r="F72" s="2">
        <v>1</v>
      </c>
      <c r="G72" s="2">
        <v>668</v>
      </c>
      <c r="H72">
        <f t="shared" si="1"/>
        <v>18578.43</v>
      </c>
    </row>
    <row r="73" spans="1:8" x14ac:dyDescent="0.35">
      <c r="A73" s="1" t="s">
        <v>12</v>
      </c>
      <c r="B73" s="1" t="s">
        <v>100</v>
      </c>
      <c r="C73" s="1" t="s">
        <v>10</v>
      </c>
      <c r="D73" s="1">
        <v>621</v>
      </c>
      <c r="E73" s="2">
        <v>233.13</v>
      </c>
      <c r="F73" s="2">
        <v>1</v>
      </c>
      <c r="G73" s="2">
        <v>940.27</v>
      </c>
      <c r="H73">
        <f t="shared" si="1"/>
        <v>144773.73000000001</v>
      </c>
    </row>
    <row r="74" spans="1:8" x14ac:dyDescent="0.35">
      <c r="A74" s="1" t="s">
        <v>12</v>
      </c>
      <c r="B74" s="1" t="s">
        <v>101</v>
      </c>
      <c r="C74" s="1" t="s">
        <v>10</v>
      </c>
      <c r="D74" s="1">
        <v>50</v>
      </c>
      <c r="E74" s="2">
        <v>228.68</v>
      </c>
      <c r="F74" s="2">
        <v>1</v>
      </c>
      <c r="G74" s="2">
        <v>818</v>
      </c>
      <c r="H74">
        <f t="shared" si="1"/>
        <v>11434</v>
      </c>
    </row>
    <row r="75" spans="1:8" x14ac:dyDescent="0.35">
      <c r="A75" s="1" t="s">
        <v>12</v>
      </c>
      <c r="B75" s="1" t="s">
        <v>102</v>
      </c>
      <c r="C75" s="1" t="s">
        <v>10</v>
      </c>
      <c r="D75" s="1">
        <v>73</v>
      </c>
      <c r="E75" s="2">
        <v>225.58</v>
      </c>
      <c r="F75" s="2">
        <v>69.03</v>
      </c>
      <c r="G75" s="2">
        <v>805</v>
      </c>
      <c r="H75">
        <f t="shared" si="1"/>
        <v>16467.34</v>
      </c>
    </row>
    <row r="76" spans="1:8" x14ac:dyDescent="0.35">
      <c r="A76" s="1" t="s">
        <v>12</v>
      </c>
      <c r="B76" s="1" t="s">
        <v>103</v>
      </c>
      <c r="C76" s="1" t="s">
        <v>10</v>
      </c>
      <c r="D76" s="1">
        <v>40</v>
      </c>
      <c r="E76" s="2">
        <v>224.33</v>
      </c>
      <c r="F76" s="2">
        <v>1</v>
      </c>
      <c r="G76" s="2">
        <v>619.66</v>
      </c>
      <c r="H76">
        <f t="shared" si="1"/>
        <v>8973.2000000000007</v>
      </c>
    </row>
    <row r="77" spans="1:8" x14ac:dyDescent="0.35">
      <c r="A77" s="1" t="s">
        <v>12</v>
      </c>
      <c r="B77" s="1" t="s">
        <v>104</v>
      </c>
      <c r="C77" s="1" t="s">
        <v>10</v>
      </c>
      <c r="D77" s="1">
        <v>6</v>
      </c>
      <c r="E77" s="2">
        <v>216.25</v>
      </c>
      <c r="F77" s="2">
        <v>2</v>
      </c>
      <c r="G77" s="2">
        <v>491.17</v>
      </c>
      <c r="H77">
        <f t="shared" si="1"/>
        <v>1297.5</v>
      </c>
    </row>
    <row r="78" spans="1:8" x14ac:dyDescent="0.35">
      <c r="A78" s="1" t="s">
        <v>12</v>
      </c>
      <c r="B78" s="1" t="s">
        <v>105</v>
      </c>
      <c r="C78" s="1" t="s">
        <v>10</v>
      </c>
      <c r="D78" s="1">
        <v>3</v>
      </c>
      <c r="E78" s="2">
        <v>215.94</v>
      </c>
      <c r="F78" s="2">
        <v>119.61</v>
      </c>
      <c r="G78" s="2">
        <v>265.67</v>
      </c>
      <c r="H78">
        <f t="shared" si="1"/>
        <v>647.81999999999994</v>
      </c>
    </row>
    <row r="79" spans="1:8" x14ac:dyDescent="0.35">
      <c r="A79" s="1" t="s">
        <v>12</v>
      </c>
      <c r="B79" s="1" t="s">
        <v>106</v>
      </c>
      <c r="C79" s="1" t="s">
        <v>10</v>
      </c>
      <c r="D79" s="1">
        <v>237</v>
      </c>
      <c r="E79" s="2">
        <v>214.94</v>
      </c>
      <c r="F79" s="2">
        <v>1</v>
      </c>
      <c r="G79" s="2">
        <v>939</v>
      </c>
      <c r="H79">
        <f t="shared" si="1"/>
        <v>50940.78</v>
      </c>
    </row>
    <row r="80" spans="1:8" x14ac:dyDescent="0.35">
      <c r="A80" s="1" t="s">
        <v>12</v>
      </c>
      <c r="B80" s="1" t="s">
        <v>107</v>
      </c>
      <c r="C80" s="1" t="s">
        <v>10</v>
      </c>
      <c r="D80" s="1">
        <v>22</v>
      </c>
      <c r="E80" s="2">
        <v>212.48</v>
      </c>
      <c r="F80" s="2">
        <v>1</v>
      </c>
      <c r="G80" s="2">
        <v>710.17</v>
      </c>
      <c r="H80">
        <f t="shared" si="1"/>
        <v>4674.5599999999995</v>
      </c>
    </row>
    <row r="81" spans="1:8" x14ac:dyDescent="0.35">
      <c r="A81" s="1" t="s">
        <v>12</v>
      </c>
      <c r="B81" s="1" t="s">
        <v>108</v>
      </c>
      <c r="C81" s="1" t="s">
        <v>10</v>
      </c>
      <c r="D81" s="1">
        <v>32</v>
      </c>
      <c r="E81" s="2">
        <v>210.02</v>
      </c>
      <c r="F81" s="2">
        <v>91.87</v>
      </c>
      <c r="G81" s="2">
        <v>775</v>
      </c>
      <c r="H81">
        <f t="shared" si="1"/>
        <v>6720.64</v>
      </c>
    </row>
    <row r="82" spans="1:8" x14ac:dyDescent="0.35">
      <c r="A82" s="1" t="s">
        <v>12</v>
      </c>
      <c r="B82" s="1" t="s">
        <v>109</v>
      </c>
      <c r="C82" s="1" t="s">
        <v>10</v>
      </c>
      <c r="D82" s="1">
        <v>37</v>
      </c>
      <c r="E82" s="2">
        <v>209.06</v>
      </c>
      <c r="F82" s="2">
        <v>1</v>
      </c>
      <c r="G82" s="2">
        <v>775</v>
      </c>
      <c r="H82">
        <f t="shared" si="1"/>
        <v>7735.22</v>
      </c>
    </row>
    <row r="83" spans="1:8" x14ac:dyDescent="0.35">
      <c r="A83" s="1" t="s">
        <v>12</v>
      </c>
      <c r="B83" s="1" t="s">
        <v>110</v>
      </c>
      <c r="C83" s="1" t="s">
        <v>10</v>
      </c>
      <c r="D83" s="1">
        <v>95</v>
      </c>
      <c r="E83" s="2">
        <v>203.22</v>
      </c>
      <c r="F83" s="2">
        <v>1</v>
      </c>
      <c r="G83" s="2">
        <v>668.9</v>
      </c>
      <c r="H83">
        <f t="shared" si="1"/>
        <v>19305.900000000001</v>
      </c>
    </row>
    <row r="84" spans="1:8" x14ac:dyDescent="0.35">
      <c r="A84" s="1" t="s">
        <v>12</v>
      </c>
      <c r="B84" s="1" t="s">
        <v>111</v>
      </c>
      <c r="C84" s="1" t="s">
        <v>10</v>
      </c>
      <c r="D84" s="1">
        <v>110</v>
      </c>
      <c r="E84" s="2">
        <v>201.3</v>
      </c>
      <c r="F84" s="2">
        <v>12.33</v>
      </c>
      <c r="G84" s="2">
        <v>731.98</v>
      </c>
      <c r="H84">
        <f t="shared" si="1"/>
        <v>22143</v>
      </c>
    </row>
    <row r="85" spans="1:8" x14ac:dyDescent="0.35">
      <c r="A85" s="1" t="s">
        <v>12</v>
      </c>
      <c r="B85" s="1" t="s">
        <v>112</v>
      </c>
      <c r="C85" s="1" t="s">
        <v>10</v>
      </c>
      <c r="D85" s="1">
        <v>86</v>
      </c>
      <c r="E85" s="2">
        <v>199.46</v>
      </c>
      <c r="F85" s="2">
        <v>26.17</v>
      </c>
      <c r="G85" s="2">
        <v>827.5</v>
      </c>
      <c r="H85">
        <f t="shared" si="1"/>
        <v>17153.560000000001</v>
      </c>
    </row>
    <row r="86" spans="1:8" x14ac:dyDescent="0.35">
      <c r="A86" s="1" t="s">
        <v>12</v>
      </c>
      <c r="B86" s="1" t="s">
        <v>113</v>
      </c>
      <c r="C86" s="1" t="s">
        <v>10</v>
      </c>
      <c r="D86" s="1">
        <v>104</v>
      </c>
      <c r="E86" s="2">
        <v>195</v>
      </c>
      <c r="F86" s="2">
        <v>1</v>
      </c>
      <c r="G86" s="2">
        <v>840.7</v>
      </c>
      <c r="H86">
        <f t="shared" si="1"/>
        <v>20280</v>
      </c>
    </row>
    <row r="87" spans="1:8" x14ac:dyDescent="0.35">
      <c r="A87" s="1" t="s">
        <v>12</v>
      </c>
      <c r="B87" s="1" t="s">
        <v>114</v>
      </c>
      <c r="C87" s="1" t="s">
        <v>10</v>
      </c>
      <c r="D87" s="1">
        <v>21</v>
      </c>
      <c r="E87" s="2">
        <v>192.85</v>
      </c>
      <c r="F87" s="2">
        <v>79.64</v>
      </c>
      <c r="G87" s="2">
        <v>638.82000000000005</v>
      </c>
      <c r="H87">
        <f t="shared" si="1"/>
        <v>4049.85</v>
      </c>
    </row>
    <row r="88" spans="1:8" x14ac:dyDescent="0.35">
      <c r="A88" s="1" t="s">
        <v>12</v>
      </c>
      <c r="B88" s="1" t="s">
        <v>115</v>
      </c>
      <c r="C88" s="1" t="s">
        <v>10</v>
      </c>
      <c r="D88" s="1">
        <v>174</v>
      </c>
      <c r="E88" s="2">
        <v>191.53</v>
      </c>
      <c r="F88" s="2">
        <v>1</v>
      </c>
      <c r="G88" s="2">
        <v>970</v>
      </c>
      <c r="H88">
        <f t="shared" si="1"/>
        <v>33326.22</v>
      </c>
    </row>
    <row r="89" spans="1:8" x14ac:dyDescent="0.35">
      <c r="A89" s="1" t="s">
        <v>12</v>
      </c>
      <c r="B89" s="1" t="s">
        <v>116</v>
      </c>
      <c r="C89" s="1" t="s">
        <v>10</v>
      </c>
      <c r="D89" s="1">
        <v>22</v>
      </c>
      <c r="E89" s="2">
        <v>186.57</v>
      </c>
      <c r="F89" s="2">
        <v>83.04</v>
      </c>
      <c r="G89" s="2">
        <v>320.8</v>
      </c>
      <c r="H89">
        <f t="shared" si="1"/>
        <v>4104.54</v>
      </c>
    </row>
    <row r="90" spans="1:8" x14ac:dyDescent="0.35">
      <c r="A90" s="1" t="s">
        <v>12</v>
      </c>
      <c r="B90" s="1" t="s">
        <v>117</v>
      </c>
      <c r="C90" s="1" t="s">
        <v>10</v>
      </c>
      <c r="D90" s="1">
        <v>12</v>
      </c>
      <c r="E90" s="2">
        <v>177.66</v>
      </c>
      <c r="F90" s="2">
        <v>63.53</v>
      </c>
      <c r="G90" s="2">
        <v>362.87</v>
      </c>
      <c r="H90">
        <f t="shared" si="1"/>
        <v>2131.92</v>
      </c>
    </row>
    <row r="91" spans="1:8" x14ac:dyDescent="0.35">
      <c r="A91" s="1" t="s">
        <v>12</v>
      </c>
      <c r="B91" s="1" t="s">
        <v>118</v>
      </c>
      <c r="C91" s="1" t="s">
        <v>10</v>
      </c>
      <c r="D91" s="1">
        <v>11</v>
      </c>
      <c r="E91" s="2">
        <v>174.4</v>
      </c>
      <c r="F91" s="2">
        <v>55.46</v>
      </c>
      <c r="G91" s="2">
        <v>285.3</v>
      </c>
      <c r="H91">
        <f t="shared" si="1"/>
        <v>1918.4</v>
      </c>
    </row>
    <row r="92" spans="1:8" x14ac:dyDescent="0.35">
      <c r="A92" s="1" t="s">
        <v>12</v>
      </c>
      <c r="B92" s="1" t="s">
        <v>119</v>
      </c>
      <c r="C92" s="1" t="s">
        <v>10</v>
      </c>
      <c r="D92" s="1">
        <v>13</v>
      </c>
      <c r="E92" s="2">
        <v>169.07</v>
      </c>
      <c r="F92" s="2">
        <v>2</v>
      </c>
      <c r="G92" s="2">
        <v>290.73</v>
      </c>
      <c r="H92">
        <f t="shared" si="1"/>
        <v>2197.91</v>
      </c>
    </row>
    <row r="93" spans="1:8" x14ac:dyDescent="0.35">
      <c r="A93" s="1" t="s">
        <v>12</v>
      </c>
      <c r="B93" s="1" t="s">
        <v>120</v>
      </c>
      <c r="C93" s="1" t="s">
        <v>10</v>
      </c>
      <c r="D93" s="1">
        <v>22</v>
      </c>
      <c r="E93" s="2">
        <v>166.82</v>
      </c>
      <c r="F93" s="2">
        <v>80.38</v>
      </c>
      <c r="G93" s="2">
        <v>391.6</v>
      </c>
      <c r="H93">
        <f t="shared" si="1"/>
        <v>3670.04</v>
      </c>
    </row>
    <row r="94" spans="1:8" x14ac:dyDescent="0.35">
      <c r="A94" s="1" t="s">
        <v>12</v>
      </c>
      <c r="B94" s="1" t="s">
        <v>121</v>
      </c>
      <c r="C94" s="1" t="s">
        <v>10</v>
      </c>
      <c r="D94" s="1">
        <v>34</v>
      </c>
      <c r="E94" s="2">
        <v>165.26</v>
      </c>
      <c r="F94" s="2">
        <v>1</v>
      </c>
      <c r="G94" s="2">
        <v>385.9</v>
      </c>
      <c r="H94">
        <f t="shared" si="1"/>
        <v>5618.84</v>
      </c>
    </row>
    <row r="95" spans="1:8" x14ac:dyDescent="0.35">
      <c r="A95" s="1" t="s">
        <v>12</v>
      </c>
      <c r="B95" s="1" t="s">
        <v>122</v>
      </c>
      <c r="C95" s="1" t="s">
        <v>10</v>
      </c>
      <c r="D95" s="1">
        <v>31</v>
      </c>
      <c r="E95" s="2">
        <v>160.65</v>
      </c>
      <c r="F95" s="2">
        <v>37.82</v>
      </c>
      <c r="G95" s="2">
        <v>444.68</v>
      </c>
      <c r="H95">
        <f t="shared" si="1"/>
        <v>4980.1500000000005</v>
      </c>
    </row>
    <row r="96" spans="1:8" x14ac:dyDescent="0.35">
      <c r="A96" s="1" t="s">
        <v>12</v>
      </c>
      <c r="B96" s="1" t="s">
        <v>123</v>
      </c>
      <c r="C96" s="1" t="s">
        <v>10</v>
      </c>
      <c r="D96" s="1">
        <v>2</v>
      </c>
      <c r="E96" s="2">
        <v>160.22999999999999</v>
      </c>
      <c r="F96" s="2">
        <v>134.22999999999999</v>
      </c>
      <c r="G96" s="2">
        <v>186.23</v>
      </c>
      <c r="H96">
        <f t="shared" si="1"/>
        <v>320.45999999999998</v>
      </c>
    </row>
    <row r="97" spans="1:8" x14ac:dyDescent="0.35">
      <c r="A97" s="1" t="s">
        <v>12</v>
      </c>
      <c r="B97" s="1" t="s">
        <v>124</v>
      </c>
      <c r="C97" s="1" t="s">
        <v>10</v>
      </c>
      <c r="D97" s="1">
        <v>18</v>
      </c>
      <c r="E97" s="2">
        <v>154.01</v>
      </c>
      <c r="F97" s="2">
        <v>39.18</v>
      </c>
      <c r="G97" s="2">
        <v>428</v>
      </c>
      <c r="H97">
        <f t="shared" si="1"/>
        <v>2772.18</v>
      </c>
    </row>
    <row r="98" spans="1:8" x14ac:dyDescent="0.35">
      <c r="A98" s="1" t="s">
        <v>12</v>
      </c>
      <c r="B98" s="1" t="s">
        <v>125</v>
      </c>
      <c r="C98" s="1" t="s">
        <v>10</v>
      </c>
      <c r="D98" s="1">
        <v>2</v>
      </c>
      <c r="E98" s="2">
        <v>103.1</v>
      </c>
      <c r="F98" s="2">
        <v>1</v>
      </c>
      <c r="G98" s="2">
        <v>205.2</v>
      </c>
      <c r="H98">
        <f t="shared" si="1"/>
        <v>206.2</v>
      </c>
    </row>
    <row r="99" spans="1:8" x14ac:dyDescent="0.35">
      <c r="A99" s="1" t="s">
        <v>12</v>
      </c>
      <c r="B99" s="1" t="s">
        <v>126</v>
      </c>
      <c r="C99" s="1" t="s">
        <v>10</v>
      </c>
      <c r="D99" s="1">
        <v>7</v>
      </c>
      <c r="E99" s="2">
        <v>84.03</v>
      </c>
      <c r="F99" s="2">
        <v>1</v>
      </c>
      <c r="G99" s="2">
        <v>111.58</v>
      </c>
      <c r="H99">
        <f t="shared" si="1"/>
        <v>588.21</v>
      </c>
    </row>
    <row r="100" spans="1:8" x14ac:dyDescent="0.35">
      <c r="A100" s="1" t="s">
        <v>14</v>
      </c>
      <c r="B100" s="1" t="s">
        <v>127</v>
      </c>
      <c r="C100" s="1" t="s">
        <v>10</v>
      </c>
      <c r="D100" s="1">
        <v>13</v>
      </c>
      <c r="E100" s="2">
        <v>454.76</v>
      </c>
      <c r="F100" s="2">
        <v>1</v>
      </c>
      <c r="G100" s="2">
        <v>856.08</v>
      </c>
      <c r="H100">
        <f t="shared" si="1"/>
        <v>5911.88</v>
      </c>
    </row>
    <row r="101" spans="1:8" x14ac:dyDescent="0.35">
      <c r="A101" s="1" t="s">
        <v>14</v>
      </c>
      <c r="B101" s="1" t="s">
        <v>128</v>
      </c>
      <c r="C101" s="1" t="s">
        <v>10</v>
      </c>
      <c r="D101" s="1">
        <v>8</v>
      </c>
      <c r="E101" s="2">
        <v>432.39</v>
      </c>
      <c r="F101" s="2">
        <v>4</v>
      </c>
      <c r="G101" s="2">
        <v>966.06</v>
      </c>
      <c r="H101">
        <f t="shared" si="1"/>
        <v>3459.12</v>
      </c>
    </row>
    <row r="102" spans="1:8" x14ac:dyDescent="0.35">
      <c r="A102" s="1" t="s">
        <v>14</v>
      </c>
      <c r="B102" s="1" t="s">
        <v>129</v>
      </c>
      <c r="C102" s="1" t="s">
        <v>10</v>
      </c>
      <c r="D102" s="1">
        <v>108</v>
      </c>
      <c r="E102" s="2">
        <v>430.67</v>
      </c>
      <c r="F102" s="2">
        <v>1</v>
      </c>
      <c r="G102" s="2">
        <v>997.9</v>
      </c>
      <c r="H102">
        <f t="shared" si="1"/>
        <v>46512.36</v>
      </c>
    </row>
    <row r="103" spans="1:8" x14ac:dyDescent="0.35">
      <c r="A103" s="1" t="s">
        <v>14</v>
      </c>
      <c r="B103" s="1" t="s">
        <v>130</v>
      </c>
      <c r="C103" s="1" t="s">
        <v>10</v>
      </c>
      <c r="D103" s="1">
        <v>221</v>
      </c>
      <c r="E103" s="2">
        <v>396.57</v>
      </c>
      <c r="F103" s="2">
        <v>1</v>
      </c>
      <c r="G103" s="2">
        <v>998</v>
      </c>
      <c r="H103">
        <f t="shared" si="1"/>
        <v>87641.97</v>
      </c>
    </row>
    <row r="104" spans="1:8" x14ac:dyDescent="0.35">
      <c r="A104" s="1" t="s">
        <v>14</v>
      </c>
      <c r="B104" s="1" t="s">
        <v>131</v>
      </c>
      <c r="C104" s="1" t="s">
        <v>10</v>
      </c>
      <c r="D104" s="1">
        <v>99</v>
      </c>
      <c r="E104" s="2">
        <v>376.66</v>
      </c>
      <c r="F104" s="2">
        <v>1</v>
      </c>
      <c r="G104" s="2">
        <v>990.66</v>
      </c>
      <c r="H104">
        <f t="shared" si="1"/>
        <v>37289.340000000004</v>
      </c>
    </row>
    <row r="105" spans="1:8" x14ac:dyDescent="0.35">
      <c r="A105" s="1" t="s">
        <v>14</v>
      </c>
      <c r="B105" s="1" t="s">
        <v>132</v>
      </c>
      <c r="C105" s="1" t="s">
        <v>10</v>
      </c>
      <c r="D105" s="1">
        <v>863</v>
      </c>
      <c r="E105" s="2">
        <v>363.39</v>
      </c>
      <c r="F105" s="2">
        <v>1</v>
      </c>
      <c r="G105" s="2">
        <v>997.14</v>
      </c>
      <c r="H105">
        <f t="shared" si="1"/>
        <v>313605.57</v>
      </c>
    </row>
    <row r="106" spans="1:8" x14ac:dyDescent="0.35">
      <c r="A106" s="1" t="s">
        <v>14</v>
      </c>
      <c r="B106" s="1" t="s">
        <v>133</v>
      </c>
      <c r="C106" s="1" t="s">
        <v>10</v>
      </c>
      <c r="D106" s="1">
        <v>84</v>
      </c>
      <c r="E106" s="2">
        <v>363.07</v>
      </c>
      <c r="F106" s="2">
        <v>1</v>
      </c>
      <c r="G106" s="2">
        <v>998.01</v>
      </c>
      <c r="H106">
        <f t="shared" si="1"/>
        <v>30497.88</v>
      </c>
    </row>
    <row r="107" spans="1:8" x14ac:dyDescent="0.35">
      <c r="A107" s="1" t="s">
        <v>14</v>
      </c>
      <c r="B107" s="1" t="s">
        <v>134</v>
      </c>
      <c r="C107" s="1" t="s">
        <v>10</v>
      </c>
      <c r="D107" s="1">
        <v>167</v>
      </c>
      <c r="E107" s="2">
        <v>329.93</v>
      </c>
      <c r="F107" s="2">
        <v>1</v>
      </c>
      <c r="G107" s="2">
        <v>950.6</v>
      </c>
      <c r="H107">
        <f t="shared" si="1"/>
        <v>55098.31</v>
      </c>
    </row>
    <row r="108" spans="1:8" x14ac:dyDescent="0.35">
      <c r="A108" s="1" t="s">
        <v>14</v>
      </c>
      <c r="B108" s="1" t="s">
        <v>135</v>
      </c>
      <c r="C108" s="1" t="s">
        <v>10</v>
      </c>
      <c r="D108" s="1">
        <v>53</v>
      </c>
      <c r="E108" s="2">
        <v>317.27</v>
      </c>
      <c r="F108" s="2">
        <v>1</v>
      </c>
      <c r="G108" s="2">
        <v>822.52</v>
      </c>
      <c r="H108">
        <f t="shared" si="1"/>
        <v>16815.309999999998</v>
      </c>
    </row>
    <row r="109" spans="1:8" x14ac:dyDescent="0.35">
      <c r="A109" s="1" t="s">
        <v>14</v>
      </c>
      <c r="B109" s="1" t="s">
        <v>136</v>
      </c>
      <c r="C109" s="1" t="s">
        <v>10</v>
      </c>
      <c r="D109" s="1">
        <v>15</v>
      </c>
      <c r="E109" s="2">
        <v>313.45999999999998</v>
      </c>
      <c r="F109" s="2">
        <v>147.5</v>
      </c>
      <c r="G109" s="2">
        <v>832.95</v>
      </c>
      <c r="H109">
        <f t="shared" si="1"/>
        <v>4701.8999999999996</v>
      </c>
    </row>
    <row r="110" spans="1:8" x14ac:dyDescent="0.35">
      <c r="A110" s="1" t="s">
        <v>14</v>
      </c>
      <c r="B110" s="1" t="s">
        <v>137</v>
      </c>
      <c r="C110" s="1" t="s">
        <v>10</v>
      </c>
      <c r="D110" s="1">
        <v>236</v>
      </c>
      <c r="E110" s="2">
        <v>304.27999999999997</v>
      </c>
      <c r="F110" s="2">
        <v>1</v>
      </c>
      <c r="G110" s="2">
        <v>973.2</v>
      </c>
      <c r="H110">
        <f t="shared" si="1"/>
        <v>71810.079999999987</v>
      </c>
    </row>
    <row r="111" spans="1:8" x14ac:dyDescent="0.35">
      <c r="A111" s="1" t="s">
        <v>14</v>
      </c>
      <c r="B111" s="1" t="s">
        <v>138</v>
      </c>
      <c r="C111" s="1" t="s">
        <v>10</v>
      </c>
      <c r="D111" s="1">
        <v>249</v>
      </c>
      <c r="E111" s="2">
        <v>298.95</v>
      </c>
      <c r="F111" s="2">
        <v>1</v>
      </c>
      <c r="G111" s="2">
        <v>969</v>
      </c>
      <c r="H111">
        <f t="shared" si="1"/>
        <v>74438.55</v>
      </c>
    </row>
    <row r="112" spans="1:8" x14ac:dyDescent="0.35">
      <c r="A112" s="1" t="s">
        <v>14</v>
      </c>
      <c r="B112" s="1" t="s">
        <v>139</v>
      </c>
      <c r="C112" s="1" t="s">
        <v>10</v>
      </c>
      <c r="D112" s="1">
        <v>69</v>
      </c>
      <c r="E112" s="2">
        <v>285.16000000000003</v>
      </c>
      <c r="F112" s="2">
        <v>1</v>
      </c>
      <c r="G112" s="2">
        <v>781.7</v>
      </c>
      <c r="H112">
        <f t="shared" si="1"/>
        <v>19676.04</v>
      </c>
    </row>
    <row r="113" spans="1:8" x14ac:dyDescent="0.35">
      <c r="A113" s="1" t="s">
        <v>14</v>
      </c>
      <c r="B113" s="1" t="s">
        <v>140</v>
      </c>
      <c r="C113" s="1" t="s">
        <v>10</v>
      </c>
      <c r="D113" s="1">
        <v>359</v>
      </c>
      <c r="E113" s="2">
        <v>283.17</v>
      </c>
      <c r="F113" s="2">
        <v>1</v>
      </c>
      <c r="G113" s="2">
        <v>971.9</v>
      </c>
      <c r="H113">
        <f t="shared" si="1"/>
        <v>101658.03</v>
      </c>
    </row>
    <row r="114" spans="1:8" x14ac:dyDescent="0.35">
      <c r="A114" s="1" t="s">
        <v>14</v>
      </c>
      <c r="B114" s="1" t="s">
        <v>141</v>
      </c>
      <c r="C114" s="1" t="s">
        <v>10</v>
      </c>
      <c r="D114" s="1">
        <v>87</v>
      </c>
      <c r="E114" s="2">
        <v>282.91000000000003</v>
      </c>
      <c r="F114" s="2">
        <v>1</v>
      </c>
      <c r="G114" s="2">
        <v>856</v>
      </c>
      <c r="H114">
        <f t="shared" si="1"/>
        <v>24613.170000000002</v>
      </c>
    </row>
    <row r="115" spans="1:8" x14ac:dyDescent="0.35">
      <c r="A115" s="1" t="s">
        <v>14</v>
      </c>
      <c r="B115" s="1" t="s">
        <v>142</v>
      </c>
      <c r="C115" s="1" t="s">
        <v>10</v>
      </c>
      <c r="D115" s="1">
        <v>775</v>
      </c>
      <c r="E115" s="2">
        <v>270.58</v>
      </c>
      <c r="F115" s="2">
        <v>1</v>
      </c>
      <c r="G115" s="2">
        <v>999.69</v>
      </c>
      <c r="H115">
        <f t="shared" si="1"/>
        <v>209699.5</v>
      </c>
    </row>
    <row r="116" spans="1:8" x14ac:dyDescent="0.35">
      <c r="A116" s="1" t="s">
        <v>14</v>
      </c>
      <c r="B116" s="1" t="s">
        <v>143</v>
      </c>
      <c r="C116" s="1" t="s">
        <v>10</v>
      </c>
      <c r="D116" s="1">
        <v>106</v>
      </c>
      <c r="E116" s="2">
        <v>270.39</v>
      </c>
      <c r="F116" s="2">
        <v>1</v>
      </c>
      <c r="G116" s="2">
        <v>868</v>
      </c>
      <c r="H116">
        <f t="shared" si="1"/>
        <v>28661.34</v>
      </c>
    </row>
    <row r="117" spans="1:8" x14ac:dyDescent="0.35">
      <c r="A117" s="1" t="s">
        <v>14</v>
      </c>
      <c r="B117" s="1" t="s">
        <v>144</v>
      </c>
      <c r="C117" s="1" t="s">
        <v>10</v>
      </c>
      <c r="D117" s="1">
        <v>246</v>
      </c>
      <c r="E117" s="2">
        <v>269.05</v>
      </c>
      <c r="F117" s="2">
        <v>1</v>
      </c>
      <c r="G117" s="2">
        <v>995.57</v>
      </c>
      <c r="H117">
        <f t="shared" si="1"/>
        <v>66186.3</v>
      </c>
    </row>
    <row r="118" spans="1:8" x14ac:dyDescent="0.35">
      <c r="A118" s="1" t="s">
        <v>14</v>
      </c>
      <c r="B118" s="1" t="s">
        <v>145</v>
      </c>
      <c r="C118" s="1" t="s">
        <v>10</v>
      </c>
      <c r="D118" s="1">
        <v>9</v>
      </c>
      <c r="E118" s="2">
        <v>261.83999999999997</v>
      </c>
      <c r="F118" s="2">
        <v>131.91999999999999</v>
      </c>
      <c r="G118" s="2">
        <v>618.13</v>
      </c>
      <c r="H118">
        <f t="shared" si="1"/>
        <v>2356.56</v>
      </c>
    </row>
    <row r="119" spans="1:8" x14ac:dyDescent="0.35">
      <c r="A119" s="1" t="s">
        <v>14</v>
      </c>
      <c r="B119" s="1" t="s">
        <v>146</v>
      </c>
      <c r="C119" s="1" t="s">
        <v>10</v>
      </c>
      <c r="D119" s="1">
        <v>769</v>
      </c>
      <c r="E119" s="2">
        <v>261.51</v>
      </c>
      <c r="F119" s="2">
        <v>1</v>
      </c>
      <c r="G119" s="2">
        <v>990</v>
      </c>
      <c r="H119">
        <f t="shared" si="1"/>
        <v>201101.19</v>
      </c>
    </row>
    <row r="120" spans="1:8" x14ac:dyDescent="0.35">
      <c r="A120" s="1" t="s">
        <v>14</v>
      </c>
      <c r="B120" s="1" t="s">
        <v>147</v>
      </c>
      <c r="C120" s="1" t="s">
        <v>10</v>
      </c>
      <c r="D120" s="1">
        <v>14</v>
      </c>
      <c r="E120" s="2">
        <v>259.27999999999997</v>
      </c>
      <c r="F120" s="2">
        <v>1</v>
      </c>
      <c r="G120" s="2">
        <v>679.64</v>
      </c>
      <c r="H120">
        <f t="shared" si="1"/>
        <v>3629.9199999999996</v>
      </c>
    </row>
    <row r="121" spans="1:8" x14ac:dyDescent="0.35">
      <c r="A121" s="1" t="s">
        <v>14</v>
      </c>
      <c r="B121" s="1" t="s">
        <v>148</v>
      </c>
      <c r="C121" s="1" t="s">
        <v>10</v>
      </c>
      <c r="D121" s="1">
        <v>25</v>
      </c>
      <c r="E121" s="2">
        <v>258.17</v>
      </c>
      <c r="F121" s="2">
        <v>1</v>
      </c>
      <c r="G121" s="2">
        <v>605.04</v>
      </c>
      <c r="H121">
        <f t="shared" si="1"/>
        <v>6454.25</v>
      </c>
    </row>
    <row r="122" spans="1:8" x14ac:dyDescent="0.35">
      <c r="A122" s="1" t="s">
        <v>14</v>
      </c>
      <c r="B122" s="1" t="s">
        <v>149</v>
      </c>
      <c r="C122" s="1" t="s">
        <v>10</v>
      </c>
      <c r="D122" s="1">
        <v>189</v>
      </c>
      <c r="E122" s="2">
        <v>255.17</v>
      </c>
      <c r="F122" s="2">
        <v>1</v>
      </c>
      <c r="G122" s="2">
        <v>924.77</v>
      </c>
      <c r="H122">
        <f t="shared" si="1"/>
        <v>48227.13</v>
      </c>
    </row>
    <row r="123" spans="1:8" x14ac:dyDescent="0.35">
      <c r="A123" s="1" t="s">
        <v>14</v>
      </c>
      <c r="B123" s="1" t="s">
        <v>150</v>
      </c>
      <c r="C123" s="1" t="s">
        <v>10</v>
      </c>
      <c r="D123" s="1">
        <v>67</v>
      </c>
      <c r="E123" s="2">
        <v>254.54</v>
      </c>
      <c r="F123" s="2">
        <v>1</v>
      </c>
      <c r="G123" s="2">
        <v>855</v>
      </c>
      <c r="H123">
        <f t="shared" si="1"/>
        <v>17054.18</v>
      </c>
    </row>
    <row r="124" spans="1:8" x14ac:dyDescent="0.35">
      <c r="A124" s="1" t="s">
        <v>14</v>
      </c>
      <c r="B124" s="1" t="s">
        <v>151</v>
      </c>
      <c r="C124" s="1" t="s">
        <v>10</v>
      </c>
      <c r="D124" s="1">
        <v>506</v>
      </c>
      <c r="E124" s="2">
        <v>252.43</v>
      </c>
      <c r="F124" s="2">
        <v>1</v>
      </c>
      <c r="G124" s="2">
        <v>854.66</v>
      </c>
      <c r="H124">
        <f t="shared" si="1"/>
        <v>127729.58</v>
      </c>
    </row>
    <row r="125" spans="1:8" x14ac:dyDescent="0.35">
      <c r="A125" s="1" t="s">
        <v>14</v>
      </c>
      <c r="B125" s="1" t="s">
        <v>152</v>
      </c>
      <c r="C125" s="1" t="s">
        <v>10</v>
      </c>
      <c r="D125" s="1">
        <v>27</v>
      </c>
      <c r="E125" s="2">
        <v>249.92</v>
      </c>
      <c r="F125" s="2">
        <v>1</v>
      </c>
      <c r="G125" s="2">
        <v>952</v>
      </c>
      <c r="H125">
        <f t="shared" si="1"/>
        <v>6747.8399999999992</v>
      </c>
    </row>
    <row r="126" spans="1:8" x14ac:dyDescent="0.35">
      <c r="A126" s="1" t="s">
        <v>14</v>
      </c>
      <c r="B126" s="1" t="s">
        <v>153</v>
      </c>
      <c r="C126" s="1" t="s">
        <v>10</v>
      </c>
      <c r="D126" s="1">
        <v>2</v>
      </c>
      <c r="E126" s="2">
        <v>246.59</v>
      </c>
      <c r="F126" s="2">
        <v>132.9</v>
      </c>
      <c r="G126" s="2">
        <v>360.28</v>
      </c>
      <c r="H126">
        <f t="shared" si="1"/>
        <v>493.18</v>
      </c>
    </row>
    <row r="127" spans="1:8" x14ac:dyDescent="0.35">
      <c r="A127" s="1" t="s">
        <v>14</v>
      </c>
      <c r="B127" s="1" t="s">
        <v>154</v>
      </c>
      <c r="C127" s="1" t="s">
        <v>10</v>
      </c>
      <c r="D127" s="1">
        <v>445</v>
      </c>
      <c r="E127" s="2">
        <v>245.08</v>
      </c>
      <c r="F127" s="2">
        <v>1</v>
      </c>
      <c r="G127" s="2">
        <v>976.11</v>
      </c>
      <c r="H127">
        <f t="shared" si="1"/>
        <v>109060.6</v>
      </c>
    </row>
    <row r="128" spans="1:8" x14ac:dyDescent="0.35">
      <c r="A128" s="1" t="s">
        <v>14</v>
      </c>
      <c r="B128" s="1" t="s">
        <v>155</v>
      </c>
      <c r="C128" s="1" t="s">
        <v>10</v>
      </c>
      <c r="D128" s="1">
        <v>211</v>
      </c>
      <c r="E128" s="2">
        <v>231.65</v>
      </c>
      <c r="F128" s="2">
        <v>1</v>
      </c>
      <c r="G128" s="2">
        <v>984</v>
      </c>
      <c r="H128">
        <f t="shared" si="1"/>
        <v>48878.15</v>
      </c>
    </row>
    <row r="129" spans="1:8" x14ac:dyDescent="0.35">
      <c r="A129" s="1" t="s">
        <v>14</v>
      </c>
      <c r="B129" s="1" t="s">
        <v>156</v>
      </c>
      <c r="C129" s="1" t="s">
        <v>10</v>
      </c>
      <c r="D129" s="1">
        <v>80</v>
      </c>
      <c r="E129" s="2">
        <v>202.35</v>
      </c>
      <c r="F129" s="2">
        <v>10.75</v>
      </c>
      <c r="G129" s="2">
        <v>840.69</v>
      </c>
      <c r="H129">
        <f t="shared" si="1"/>
        <v>16188</v>
      </c>
    </row>
    <row r="130" spans="1:8" x14ac:dyDescent="0.35">
      <c r="A130" s="1" t="s">
        <v>14</v>
      </c>
      <c r="B130" s="1" t="s">
        <v>157</v>
      </c>
      <c r="C130" s="1" t="s">
        <v>10</v>
      </c>
      <c r="D130" s="1">
        <v>29</v>
      </c>
      <c r="E130" s="2">
        <v>188.79</v>
      </c>
      <c r="F130" s="2">
        <v>79.150000000000006</v>
      </c>
      <c r="G130" s="2">
        <v>995.57</v>
      </c>
      <c r="H130">
        <f t="shared" si="1"/>
        <v>5474.91</v>
      </c>
    </row>
    <row r="131" spans="1:8" x14ac:dyDescent="0.35">
      <c r="A131" s="1" t="s">
        <v>14</v>
      </c>
      <c r="B131" s="1" t="s">
        <v>158</v>
      </c>
      <c r="C131" s="1" t="s">
        <v>10</v>
      </c>
      <c r="D131" s="1">
        <v>7</v>
      </c>
      <c r="E131" s="2">
        <v>152.80000000000001</v>
      </c>
      <c r="F131" s="2">
        <v>1</v>
      </c>
      <c r="G131" s="2">
        <v>341.42</v>
      </c>
      <c r="H131">
        <f t="shared" si="1"/>
        <v>1069.6000000000001</v>
      </c>
    </row>
    <row r="132" spans="1:8" x14ac:dyDescent="0.35">
      <c r="A132" s="1" t="s">
        <v>15</v>
      </c>
      <c r="B132" s="1" t="s">
        <v>159</v>
      </c>
      <c r="C132" s="1" t="s">
        <v>10</v>
      </c>
      <c r="D132" s="1">
        <v>1</v>
      </c>
      <c r="E132" s="2">
        <v>575.21</v>
      </c>
      <c r="F132" s="2">
        <v>575.21</v>
      </c>
      <c r="G132" s="2">
        <v>575.21</v>
      </c>
      <c r="H132">
        <f t="shared" ref="H132:H195" si="2">E132*D132</f>
        <v>575.21</v>
      </c>
    </row>
    <row r="133" spans="1:8" x14ac:dyDescent="0.35">
      <c r="A133" s="1" t="s">
        <v>15</v>
      </c>
      <c r="B133" s="1" t="s">
        <v>160</v>
      </c>
      <c r="C133" s="1" t="s">
        <v>10</v>
      </c>
      <c r="D133" s="1">
        <v>1</v>
      </c>
      <c r="E133" s="2">
        <v>395.43</v>
      </c>
      <c r="F133" s="2">
        <v>395.43</v>
      </c>
      <c r="G133" s="2">
        <v>395.43</v>
      </c>
      <c r="H133">
        <f t="shared" si="2"/>
        <v>395.43</v>
      </c>
    </row>
    <row r="134" spans="1:8" x14ac:dyDescent="0.35">
      <c r="A134" s="1" t="s">
        <v>15</v>
      </c>
      <c r="B134" s="1" t="s">
        <v>161</v>
      </c>
      <c r="C134" s="1" t="s">
        <v>10</v>
      </c>
      <c r="D134" s="1">
        <v>6</v>
      </c>
      <c r="E134" s="2">
        <v>286.79000000000002</v>
      </c>
      <c r="F134" s="2">
        <v>88.7</v>
      </c>
      <c r="G134" s="2">
        <v>555.87</v>
      </c>
      <c r="H134">
        <f t="shared" si="2"/>
        <v>1720.7400000000002</v>
      </c>
    </row>
    <row r="135" spans="1:8" x14ac:dyDescent="0.35">
      <c r="A135" s="1" t="s">
        <v>15</v>
      </c>
      <c r="B135" s="1" t="s">
        <v>162</v>
      </c>
      <c r="C135" s="1" t="s">
        <v>10</v>
      </c>
      <c r="D135" s="1">
        <v>2</v>
      </c>
      <c r="E135" s="2">
        <v>286.24</v>
      </c>
      <c r="F135" s="2">
        <v>275.47000000000003</v>
      </c>
      <c r="G135" s="2">
        <v>297.01</v>
      </c>
      <c r="H135">
        <f t="shared" si="2"/>
        <v>572.48</v>
      </c>
    </row>
    <row r="136" spans="1:8" x14ac:dyDescent="0.35">
      <c r="A136" s="1" t="s">
        <v>15</v>
      </c>
      <c r="B136" s="1" t="s">
        <v>163</v>
      </c>
      <c r="C136" s="1" t="s">
        <v>10</v>
      </c>
      <c r="D136" s="1">
        <v>9</v>
      </c>
      <c r="E136" s="2">
        <v>274.73</v>
      </c>
      <c r="F136" s="2">
        <v>141.30000000000001</v>
      </c>
      <c r="G136" s="2">
        <v>414</v>
      </c>
      <c r="H136">
        <f t="shared" si="2"/>
        <v>2472.5700000000002</v>
      </c>
    </row>
    <row r="137" spans="1:8" x14ac:dyDescent="0.35">
      <c r="A137" s="1" t="s">
        <v>15</v>
      </c>
      <c r="B137" s="1" t="s">
        <v>164</v>
      </c>
      <c r="C137" s="1" t="s">
        <v>10</v>
      </c>
      <c r="D137" s="1">
        <v>41</v>
      </c>
      <c r="E137" s="2">
        <v>261.64</v>
      </c>
      <c r="F137" s="2">
        <v>1</v>
      </c>
      <c r="G137" s="2">
        <v>894.09</v>
      </c>
      <c r="H137">
        <f t="shared" si="2"/>
        <v>10727.24</v>
      </c>
    </row>
    <row r="138" spans="1:8" x14ac:dyDescent="0.35">
      <c r="A138" s="1" t="s">
        <v>15</v>
      </c>
      <c r="B138" s="1" t="s">
        <v>165</v>
      </c>
      <c r="C138" s="1" t="s">
        <v>10</v>
      </c>
      <c r="D138" s="1">
        <v>7</v>
      </c>
      <c r="E138" s="2">
        <v>260.58</v>
      </c>
      <c r="F138" s="2">
        <v>169.8</v>
      </c>
      <c r="G138" s="2">
        <v>400</v>
      </c>
      <c r="H138">
        <f t="shared" si="2"/>
        <v>1824.06</v>
      </c>
    </row>
    <row r="139" spans="1:8" x14ac:dyDescent="0.35">
      <c r="A139" s="1" t="s">
        <v>15</v>
      </c>
      <c r="B139" s="1" t="s">
        <v>166</v>
      </c>
      <c r="C139" s="1" t="s">
        <v>10</v>
      </c>
      <c r="D139" s="1">
        <v>90</v>
      </c>
      <c r="E139" s="2">
        <v>236.45</v>
      </c>
      <c r="F139" s="2">
        <v>1</v>
      </c>
      <c r="G139" s="2">
        <v>880.29</v>
      </c>
      <c r="H139">
        <f t="shared" si="2"/>
        <v>21280.5</v>
      </c>
    </row>
    <row r="140" spans="1:8" x14ac:dyDescent="0.35">
      <c r="A140" s="1" t="s">
        <v>15</v>
      </c>
      <c r="B140" s="1" t="s">
        <v>167</v>
      </c>
      <c r="C140" s="1" t="s">
        <v>10</v>
      </c>
      <c r="D140" s="1">
        <v>59</v>
      </c>
      <c r="E140" s="2">
        <v>235.36</v>
      </c>
      <c r="F140" s="2">
        <v>54.94</v>
      </c>
      <c r="G140" s="2">
        <v>825</v>
      </c>
      <c r="H140">
        <f t="shared" si="2"/>
        <v>13886.240000000002</v>
      </c>
    </row>
    <row r="141" spans="1:8" x14ac:dyDescent="0.35">
      <c r="A141" s="1" t="s">
        <v>15</v>
      </c>
      <c r="B141" s="1" t="s">
        <v>168</v>
      </c>
      <c r="C141" s="1" t="s">
        <v>10</v>
      </c>
      <c r="D141" s="1">
        <v>118</v>
      </c>
      <c r="E141" s="2">
        <v>229.08</v>
      </c>
      <c r="F141" s="2">
        <v>1</v>
      </c>
      <c r="G141" s="2">
        <v>888.47</v>
      </c>
      <c r="H141">
        <f t="shared" si="2"/>
        <v>27031.440000000002</v>
      </c>
    </row>
    <row r="142" spans="1:8" x14ac:dyDescent="0.35">
      <c r="A142" s="1" t="s">
        <v>15</v>
      </c>
      <c r="B142" s="1" t="s">
        <v>169</v>
      </c>
      <c r="C142" s="1" t="s">
        <v>10</v>
      </c>
      <c r="D142" s="1">
        <v>60</v>
      </c>
      <c r="E142" s="2">
        <v>227.37</v>
      </c>
      <c r="F142" s="2">
        <v>40.58</v>
      </c>
      <c r="G142" s="2">
        <v>598</v>
      </c>
      <c r="H142">
        <f t="shared" si="2"/>
        <v>13642.2</v>
      </c>
    </row>
    <row r="143" spans="1:8" x14ac:dyDescent="0.35">
      <c r="A143" s="1" t="s">
        <v>15</v>
      </c>
      <c r="B143" s="1" t="s">
        <v>170</v>
      </c>
      <c r="C143" s="1" t="s">
        <v>10</v>
      </c>
      <c r="D143" s="1">
        <v>18</v>
      </c>
      <c r="E143" s="2">
        <v>226.87</v>
      </c>
      <c r="F143" s="2">
        <v>120.97</v>
      </c>
      <c r="G143" s="2">
        <v>499.73</v>
      </c>
      <c r="H143">
        <f t="shared" si="2"/>
        <v>4083.66</v>
      </c>
    </row>
    <row r="144" spans="1:8" x14ac:dyDescent="0.35">
      <c r="A144" s="1" t="s">
        <v>15</v>
      </c>
      <c r="B144" s="1" t="s">
        <v>171</v>
      </c>
      <c r="C144" s="1" t="s">
        <v>10</v>
      </c>
      <c r="D144" s="1">
        <v>27</v>
      </c>
      <c r="E144" s="2">
        <v>218.7</v>
      </c>
      <c r="F144" s="2">
        <v>1</v>
      </c>
      <c r="G144" s="2">
        <v>924.68</v>
      </c>
      <c r="H144">
        <f t="shared" si="2"/>
        <v>5904.9</v>
      </c>
    </row>
    <row r="145" spans="1:8" x14ac:dyDescent="0.35">
      <c r="A145" s="1" t="s">
        <v>15</v>
      </c>
      <c r="B145" s="1" t="s">
        <v>172</v>
      </c>
      <c r="C145" s="1" t="s">
        <v>10</v>
      </c>
      <c r="D145" s="1">
        <v>14</v>
      </c>
      <c r="E145" s="2">
        <v>216.45</v>
      </c>
      <c r="F145" s="2">
        <v>11.07</v>
      </c>
      <c r="G145" s="2">
        <v>611.16</v>
      </c>
      <c r="H145">
        <f t="shared" si="2"/>
        <v>3030.2999999999997</v>
      </c>
    </row>
    <row r="146" spans="1:8" x14ac:dyDescent="0.35">
      <c r="A146" s="1" t="s">
        <v>15</v>
      </c>
      <c r="B146" s="1" t="s">
        <v>173</v>
      </c>
      <c r="C146" s="1" t="s">
        <v>10</v>
      </c>
      <c r="D146" s="1">
        <v>2</v>
      </c>
      <c r="E146" s="2">
        <v>210.96</v>
      </c>
      <c r="F146" s="2">
        <v>171.11</v>
      </c>
      <c r="G146" s="2">
        <v>250.81</v>
      </c>
      <c r="H146">
        <f t="shared" si="2"/>
        <v>421.92</v>
      </c>
    </row>
    <row r="147" spans="1:8" x14ac:dyDescent="0.35">
      <c r="A147" s="1" t="s">
        <v>15</v>
      </c>
      <c r="B147" s="1" t="s">
        <v>174</v>
      </c>
      <c r="C147" s="1" t="s">
        <v>10</v>
      </c>
      <c r="D147" s="1">
        <v>12</v>
      </c>
      <c r="E147" s="2">
        <v>210.63</v>
      </c>
      <c r="F147" s="2">
        <v>94.7</v>
      </c>
      <c r="G147" s="2">
        <v>485.42</v>
      </c>
      <c r="H147">
        <f t="shared" si="2"/>
        <v>2527.56</v>
      </c>
    </row>
    <row r="148" spans="1:8" x14ac:dyDescent="0.35">
      <c r="A148" s="1" t="s">
        <v>15</v>
      </c>
      <c r="B148" s="1" t="s">
        <v>175</v>
      </c>
      <c r="C148" s="1" t="s">
        <v>10</v>
      </c>
      <c r="D148" s="1">
        <v>16</v>
      </c>
      <c r="E148" s="2">
        <v>207.48</v>
      </c>
      <c r="F148" s="2">
        <v>128.22999999999999</v>
      </c>
      <c r="G148" s="2">
        <v>348.67</v>
      </c>
      <c r="H148">
        <f t="shared" si="2"/>
        <v>3319.68</v>
      </c>
    </row>
    <row r="149" spans="1:8" x14ac:dyDescent="0.35">
      <c r="A149" s="1" t="s">
        <v>15</v>
      </c>
      <c r="B149" s="1" t="s">
        <v>176</v>
      </c>
      <c r="C149" s="1" t="s">
        <v>10</v>
      </c>
      <c r="D149" s="1">
        <v>22</v>
      </c>
      <c r="E149" s="2">
        <v>202.99</v>
      </c>
      <c r="F149" s="2">
        <v>83.78</v>
      </c>
      <c r="G149" s="2">
        <v>508.9</v>
      </c>
      <c r="H149">
        <f t="shared" si="2"/>
        <v>4465.7800000000007</v>
      </c>
    </row>
    <row r="150" spans="1:8" x14ac:dyDescent="0.35">
      <c r="A150" s="1" t="s">
        <v>15</v>
      </c>
      <c r="B150" s="1" t="s">
        <v>177</v>
      </c>
      <c r="C150" s="1" t="s">
        <v>10</v>
      </c>
      <c r="D150" s="1">
        <v>24</v>
      </c>
      <c r="E150" s="2">
        <v>200.92</v>
      </c>
      <c r="F150" s="2">
        <v>40.5</v>
      </c>
      <c r="G150" s="2">
        <v>561.23</v>
      </c>
      <c r="H150">
        <f t="shared" si="2"/>
        <v>4822.08</v>
      </c>
    </row>
    <row r="151" spans="1:8" x14ac:dyDescent="0.35">
      <c r="A151" s="1" t="s">
        <v>15</v>
      </c>
      <c r="B151" s="1" t="s">
        <v>178</v>
      </c>
      <c r="C151" s="1" t="s">
        <v>10</v>
      </c>
      <c r="D151" s="1">
        <v>29</v>
      </c>
      <c r="E151" s="2">
        <v>193.65</v>
      </c>
      <c r="F151" s="2">
        <v>60.87</v>
      </c>
      <c r="G151" s="2">
        <v>890</v>
      </c>
      <c r="H151">
        <f t="shared" si="2"/>
        <v>5615.85</v>
      </c>
    </row>
    <row r="152" spans="1:8" x14ac:dyDescent="0.35">
      <c r="A152" s="1" t="s">
        <v>15</v>
      </c>
      <c r="B152" s="1" t="s">
        <v>179</v>
      </c>
      <c r="C152" s="1" t="s">
        <v>10</v>
      </c>
      <c r="D152" s="1">
        <v>47</v>
      </c>
      <c r="E152" s="2">
        <v>190</v>
      </c>
      <c r="F152" s="2">
        <v>31.75</v>
      </c>
      <c r="G152" s="2">
        <v>586</v>
      </c>
      <c r="H152">
        <f t="shared" si="2"/>
        <v>8930</v>
      </c>
    </row>
    <row r="153" spans="1:8" x14ac:dyDescent="0.35">
      <c r="A153" s="1" t="s">
        <v>15</v>
      </c>
      <c r="B153" s="1" t="s">
        <v>180</v>
      </c>
      <c r="C153" s="1" t="s">
        <v>10</v>
      </c>
      <c r="D153" s="1">
        <v>54</v>
      </c>
      <c r="E153" s="2">
        <v>187</v>
      </c>
      <c r="F153" s="2">
        <v>1</v>
      </c>
      <c r="G153" s="2">
        <v>594.5</v>
      </c>
      <c r="H153">
        <f t="shared" si="2"/>
        <v>10098</v>
      </c>
    </row>
    <row r="154" spans="1:8" x14ac:dyDescent="0.35">
      <c r="A154" s="1" t="s">
        <v>15</v>
      </c>
      <c r="B154" s="1" t="s">
        <v>181</v>
      </c>
      <c r="C154" s="1" t="s">
        <v>10</v>
      </c>
      <c r="D154" s="1">
        <v>92</v>
      </c>
      <c r="E154" s="2">
        <v>184.68</v>
      </c>
      <c r="F154" s="2">
        <v>57.5</v>
      </c>
      <c r="G154" s="2">
        <v>994.47</v>
      </c>
      <c r="H154">
        <f t="shared" si="2"/>
        <v>16990.560000000001</v>
      </c>
    </row>
    <row r="155" spans="1:8" x14ac:dyDescent="0.35">
      <c r="A155" s="1" t="s">
        <v>15</v>
      </c>
      <c r="B155" s="1" t="s">
        <v>182</v>
      </c>
      <c r="C155" s="1" t="s">
        <v>10</v>
      </c>
      <c r="D155" s="1">
        <v>68</v>
      </c>
      <c r="E155" s="2">
        <v>180.5</v>
      </c>
      <c r="F155" s="2">
        <v>51.27</v>
      </c>
      <c r="G155" s="2">
        <v>586.27</v>
      </c>
      <c r="H155">
        <f t="shared" si="2"/>
        <v>12274</v>
      </c>
    </row>
    <row r="156" spans="1:8" x14ac:dyDescent="0.35">
      <c r="A156" s="1" t="s">
        <v>15</v>
      </c>
      <c r="B156" s="1" t="s">
        <v>183</v>
      </c>
      <c r="C156" s="1" t="s">
        <v>10</v>
      </c>
      <c r="D156" s="1">
        <v>15</v>
      </c>
      <c r="E156" s="2">
        <v>179.59</v>
      </c>
      <c r="F156" s="2">
        <v>70.95</v>
      </c>
      <c r="G156" s="2">
        <v>347</v>
      </c>
      <c r="H156">
        <f t="shared" si="2"/>
        <v>2693.85</v>
      </c>
    </row>
    <row r="157" spans="1:8" x14ac:dyDescent="0.35">
      <c r="A157" s="1" t="s">
        <v>15</v>
      </c>
      <c r="B157" s="1" t="s">
        <v>184</v>
      </c>
      <c r="C157" s="1" t="s">
        <v>10</v>
      </c>
      <c r="D157" s="1">
        <v>17</v>
      </c>
      <c r="E157" s="2">
        <v>179.49</v>
      </c>
      <c r="F157" s="2">
        <v>58.85</v>
      </c>
      <c r="G157" s="2">
        <v>375.45</v>
      </c>
      <c r="H157">
        <f t="shared" si="2"/>
        <v>3051.33</v>
      </c>
    </row>
    <row r="158" spans="1:8" x14ac:dyDescent="0.35">
      <c r="A158" s="1" t="s">
        <v>15</v>
      </c>
      <c r="B158" s="1" t="s">
        <v>185</v>
      </c>
      <c r="C158" s="1" t="s">
        <v>10</v>
      </c>
      <c r="D158" s="1">
        <v>44</v>
      </c>
      <c r="E158" s="2">
        <v>178.92</v>
      </c>
      <c r="F158" s="2">
        <v>57.56</v>
      </c>
      <c r="G158" s="2">
        <v>598.44000000000005</v>
      </c>
      <c r="H158">
        <f t="shared" si="2"/>
        <v>7872.48</v>
      </c>
    </row>
    <row r="159" spans="1:8" x14ac:dyDescent="0.35">
      <c r="A159" s="1" t="s">
        <v>15</v>
      </c>
      <c r="B159" s="1" t="s">
        <v>186</v>
      </c>
      <c r="C159" s="1" t="s">
        <v>10</v>
      </c>
      <c r="D159" s="1">
        <v>72</v>
      </c>
      <c r="E159" s="2">
        <v>175.47</v>
      </c>
      <c r="F159" s="2">
        <v>1</v>
      </c>
      <c r="G159" s="2">
        <v>656</v>
      </c>
      <c r="H159">
        <f t="shared" si="2"/>
        <v>12633.84</v>
      </c>
    </row>
    <row r="160" spans="1:8" x14ac:dyDescent="0.35">
      <c r="A160" s="1" t="s">
        <v>15</v>
      </c>
      <c r="B160" s="1" t="s">
        <v>187</v>
      </c>
      <c r="C160" s="1" t="s">
        <v>10</v>
      </c>
      <c r="D160" s="1">
        <v>16</v>
      </c>
      <c r="E160" s="2">
        <v>173.33</v>
      </c>
      <c r="F160" s="2">
        <v>59.75</v>
      </c>
      <c r="G160" s="2">
        <v>404.4</v>
      </c>
      <c r="H160">
        <f t="shared" si="2"/>
        <v>2773.28</v>
      </c>
    </row>
    <row r="161" spans="1:8" x14ac:dyDescent="0.35">
      <c r="A161" s="1" t="s">
        <v>15</v>
      </c>
      <c r="B161" s="1" t="s">
        <v>188</v>
      </c>
      <c r="C161" s="1" t="s">
        <v>10</v>
      </c>
      <c r="D161" s="1">
        <v>9</v>
      </c>
      <c r="E161" s="2">
        <v>171.66</v>
      </c>
      <c r="F161" s="2">
        <v>51.29</v>
      </c>
      <c r="G161" s="2">
        <v>351.53</v>
      </c>
      <c r="H161">
        <f t="shared" si="2"/>
        <v>1544.94</v>
      </c>
    </row>
    <row r="162" spans="1:8" x14ac:dyDescent="0.35">
      <c r="A162" s="1" t="s">
        <v>15</v>
      </c>
      <c r="B162" s="1" t="s">
        <v>189</v>
      </c>
      <c r="C162" s="1" t="s">
        <v>10</v>
      </c>
      <c r="D162" s="1">
        <v>9</v>
      </c>
      <c r="E162" s="2">
        <v>171.27</v>
      </c>
      <c r="F162" s="2">
        <v>91.3</v>
      </c>
      <c r="G162" s="2">
        <v>407.47</v>
      </c>
      <c r="H162">
        <f t="shared" si="2"/>
        <v>1541.43</v>
      </c>
    </row>
    <row r="163" spans="1:8" x14ac:dyDescent="0.35">
      <c r="A163" s="1" t="s">
        <v>15</v>
      </c>
      <c r="B163" s="1" t="s">
        <v>190</v>
      </c>
      <c r="C163" s="1" t="s">
        <v>10</v>
      </c>
      <c r="D163" s="1">
        <v>9</v>
      </c>
      <c r="E163" s="2">
        <v>170.29</v>
      </c>
      <c r="F163" s="2">
        <v>97.16</v>
      </c>
      <c r="G163" s="2">
        <v>263</v>
      </c>
      <c r="H163">
        <f t="shared" si="2"/>
        <v>1532.61</v>
      </c>
    </row>
    <row r="164" spans="1:8" x14ac:dyDescent="0.35">
      <c r="A164" s="1" t="s">
        <v>15</v>
      </c>
      <c r="B164" s="1" t="s">
        <v>191</v>
      </c>
      <c r="C164" s="1" t="s">
        <v>10</v>
      </c>
      <c r="D164" s="1">
        <v>10</v>
      </c>
      <c r="E164" s="2">
        <v>169.74</v>
      </c>
      <c r="F164" s="2">
        <v>48.18</v>
      </c>
      <c r="G164" s="2">
        <v>424.14</v>
      </c>
      <c r="H164">
        <f t="shared" si="2"/>
        <v>1697.4</v>
      </c>
    </row>
    <row r="165" spans="1:8" x14ac:dyDescent="0.35">
      <c r="A165" s="1" t="s">
        <v>15</v>
      </c>
      <c r="B165" s="1" t="s">
        <v>192</v>
      </c>
      <c r="C165" s="1" t="s">
        <v>10</v>
      </c>
      <c r="D165" s="1">
        <v>30</v>
      </c>
      <c r="E165" s="2">
        <v>169.37</v>
      </c>
      <c r="F165" s="2">
        <v>81.489999999999995</v>
      </c>
      <c r="G165" s="2">
        <v>355.1</v>
      </c>
      <c r="H165">
        <f t="shared" si="2"/>
        <v>5081.1000000000004</v>
      </c>
    </row>
    <row r="166" spans="1:8" x14ac:dyDescent="0.35">
      <c r="A166" s="1" t="s">
        <v>15</v>
      </c>
      <c r="B166" s="1" t="s">
        <v>193</v>
      </c>
      <c r="C166" s="1" t="s">
        <v>10</v>
      </c>
      <c r="D166" s="1">
        <v>29</v>
      </c>
      <c r="E166" s="2">
        <v>169.24</v>
      </c>
      <c r="F166" s="2">
        <v>30.96</v>
      </c>
      <c r="G166" s="2">
        <v>691.52</v>
      </c>
      <c r="H166">
        <f t="shared" si="2"/>
        <v>4907.96</v>
      </c>
    </row>
    <row r="167" spans="1:8" x14ac:dyDescent="0.35">
      <c r="A167" s="1" t="s">
        <v>15</v>
      </c>
      <c r="B167" s="1" t="s">
        <v>194</v>
      </c>
      <c r="C167" s="1" t="s">
        <v>10</v>
      </c>
      <c r="D167" s="1">
        <v>29</v>
      </c>
      <c r="E167" s="2">
        <v>169.19</v>
      </c>
      <c r="F167" s="2">
        <v>75.400000000000006</v>
      </c>
      <c r="G167" s="2">
        <v>330.03</v>
      </c>
      <c r="H167">
        <f t="shared" si="2"/>
        <v>4906.51</v>
      </c>
    </row>
    <row r="168" spans="1:8" x14ac:dyDescent="0.35">
      <c r="A168" s="1" t="s">
        <v>15</v>
      </c>
      <c r="B168" s="1" t="s">
        <v>195</v>
      </c>
      <c r="C168" s="1" t="s">
        <v>10</v>
      </c>
      <c r="D168" s="1">
        <v>50</v>
      </c>
      <c r="E168" s="2">
        <v>169.12</v>
      </c>
      <c r="F168" s="2">
        <v>67.180000000000007</v>
      </c>
      <c r="G168" s="2">
        <v>436.84</v>
      </c>
      <c r="H168">
        <f t="shared" si="2"/>
        <v>8456</v>
      </c>
    </row>
    <row r="169" spans="1:8" x14ac:dyDescent="0.35">
      <c r="A169" s="1" t="s">
        <v>15</v>
      </c>
      <c r="B169" s="1" t="s">
        <v>196</v>
      </c>
      <c r="C169" s="1" t="s">
        <v>10</v>
      </c>
      <c r="D169" s="1">
        <v>3</v>
      </c>
      <c r="E169" s="2">
        <v>165.28</v>
      </c>
      <c r="F169" s="2">
        <v>71.53</v>
      </c>
      <c r="G169" s="2">
        <v>222.88</v>
      </c>
      <c r="H169">
        <f t="shared" si="2"/>
        <v>495.84000000000003</v>
      </c>
    </row>
    <row r="170" spans="1:8" x14ac:dyDescent="0.35">
      <c r="A170" s="1" t="s">
        <v>15</v>
      </c>
      <c r="B170" s="1" t="s">
        <v>197</v>
      </c>
      <c r="C170" s="1" t="s">
        <v>10</v>
      </c>
      <c r="D170" s="1">
        <v>28</v>
      </c>
      <c r="E170" s="2">
        <v>160.44</v>
      </c>
      <c r="F170" s="2">
        <v>49.16</v>
      </c>
      <c r="G170" s="2">
        <v>466.07</v>
      </c>
      <c r="H170">
        <f t="shared" si="2"/>
        <v>4492.32</v>
      </c>
    </row>
    <row r="171" spans="1:8" x14ac:dyDescent="0.35">
      <c r="A171" s="1" t="s">
        <v>15</v>
      </c>
      <c r="B171" s="1" t="s">
        <v>198</v>
      </c>
      <c r="C171" s="1" t="s">
        <v>10</v>
      </c>
      <c r="D171" s="1">
        <v>34</v>
      </c>
      <c r="E171" s="2">
        <v>157.77000000000001</v>
      </c>
      <c r="F171" s="2">
        <v>1</v>
      </c>
      <c r="G171" s="2">
        <v>562.13</v>
      </c>
      <c r="H171">
        <f t="shared" si="2"/>
        <v>5364.18</v>
      </c>
    </row>
    <row r="172" spans="1:8" x14ac:dyDescent="0.35">
      <c r="A172" s="1" t="s">
        <v>15</v>
      </c>
      <c r="B172" s="1" t="s">
        <v>199</v>
      </c>
      <c r="C172" s="1" t="s">
        <v>10</v>
      </c>
      <c r="D172" s="1">
        <v>8</v>
      </c>
      <c r="E172" s="2">
        <v>157</v>
      </c>
      <c r="F172" s="2">
        <v>95.9</v>
      </c>
      <c r="G172" s="2">
        <v>191.37</v>
      </c>
      <c r="H172">
        <f t="shared" si="2"/>
        <v>1256</v>
      </c>
    </row>
    <row r="173" spans="1:8" x14ac:dyDescent="0.35">
      <c r="A173" s="1" t="s">
        <v>15</v>
      </c>
      <c r="B173" s="1" t="s">
        <v>200</v>
      </c>
      <c r="C173" s="1" t="s">
        <v>10</v>
      </c>
      <c r="D173" s="1">
        <v>32</v>
      </c>
      <c r="E173" s="2">
        <v>153.75</v>
      </c>
      <c r="F173" s="2">
        <v>1</v>
      </c>
      <c r="G173" s="2">
        <v>486.14</v>
      </c>
      <c r="H173">
        <f t="shared" si="2"/>
        <v>4920</v>
      </c>
    </row>
    <row r="174" spans="1:8" x14ac:dyDescent="0.35">
      <c r="A174" s="1" t="s">
        <v>15</v>
      </c>
      <c r="B174" s="1" t="s">
        <v>201</v>
      </c>
      <c r="C174" s="1" t="s">
        <v>10</v>
      </c>
      <c r="D174" s="1">
        <v>17</v>
      </c>
      <c r="E174" s="2">
        <v>152.96</v>
      </c>
      <c r="F174" s="2">
        <v>79.56</v>
      </c>
      <c r="G174" s="2">
        <v>389.71</v>
      </c>
      <c r="H174">
        <f t="shared" si="2"/>
        <v>2600.3200000000002</v>
      </c>
    </row>
    <row r="175" spans="1:8" x14ac:dyDescent="0.35">
      <c r="A175" s="1" t="s">
        <v>15</v>
      </c>
      <c r="B175" s="1" t="s">
        <v>202</v>
      </c>
      <c r="C175" s="1" t="s">
        <v>10</v>
      </c>
      <c r="D175" s="1">
        <v>23</v>
      </c>
      <c r="E175" s="2">
        <v>150.79</v>
      </c>
      <c r="F175" s="2">
        <v>60.87</v>
      </c>
      <c r="G175" s="2">
        <v>328.5</v>
      </c>
      <c r="H175">
        <f t="shared" si="2"/>
        <v>3468.1699999999996</v>
      </c>
    </row>
    <row r="176" spans="1:8" x14ac:dyDescent="0.35">
      <c r="A176" s="1" t="s">
        <v>15</v>
      </c>
      <c r="B176" s="1" t="s">
        <v>203</v>
      </c>
      <c r="C176" s="1" t="s">
        <v>10</v>
      </c>
      <c r="D176" s="1">
        <v>5</v>
      </c>
      <c r="E176" s="2">
        <v>145.24</v>
      </c>
      <c r="F176" s="2">
        <v>88.26</v>
      </c>
      <c r="G176" s="2">
        <v>261.8</v>
      </c>
      <c r="H176">
        <f t="shared" si="2"/>
        <v>726.2</v>
      </c>
    </row>
    <row r="177" spans="1:8" x14ac:dyDescent="0.35">
      <c r="A177" s="1" t="s">
        <v>15</v>
      </c>
      <c r="B177" s="1" t="s">
        <v>204</v>
      </c>
      <c r="C177" s="1" t="s">
        <v>10</v>
      </c>
      <c r="D177" s="1">
        <v>31</v>
      </c>
      <c r="E177" s="2">
        <v>139.38</v>
      </c>
      <c r="F177" s="2">
        <v>13.2</v>
      </c>
      <c r="G177" s="2">
        <v>372.86</v>
      </c>
      <c r="H177">
        <f t="shared" si="2"/>
        <v>4320.78</v>
      </c>
    </row>
    <row r="178" spans="1:8" x14ac:dyDescent="0.35">
      <c r="A178" s="1" t="s">
        <v>15</v>
      </c>
      <c r="B178" s="1" t="s">
        <v>205</v>
      </c>
      <c r="C178" s="1" t="s">
        <v>10</v>
      </c>
      <c r="D178" s="1">
        <v>9</v>
      </c>
      <c r="E178" s="2">
        <v>134.87</v>
      </c>
      <c r="F178" s="2">
        <v>77.89</v>
      </c>
      <c r="G178" s="2">
        <v>291.87</v>
      </c>
      <c r="H178">
        <f t="shared" si="2"/>
        <v>1213.83</v>
      </c>
    </row>
    <row r="179" spans="1:8" x14ac:dyDescent="0.35">
      <c r="A179" s="1" t="s">
        <v>15</v>
      </c>
      <c r="B179" s="1" t="s">
        <v>206</v>
      </c>
      <c r="C179" s="1" t="s">
        <v>10</v>
      </c>
      <c r="D179" s="1">
        <v>2</v>
      </c>
      <c r="E179" s="2">
        <v>132.9</v>
      </c>
      <c r="F179" s="2">
        <v>127.7</v>
      </c>
      <c r="G179" s="2">
        <v>138.09</v>
      </c>
      <c r="H179">
        <f t="shared" si="2"/>
        <v>265.8</v>
      </c>
    </row>
    <row r="180" spans="1:8" x14ac:dyDescent="0.35">
      <c r="A180" s="1" t="s">
        <v>15</v>
      </c>
      <c r="B180" s="1" t="s">
        <v>207</v>
      </c>
      <c r="C180" s="1" t="s">
        <v>10</v>
      </c>
      <c r="D180" s="1">
        <v>6</v>
      </c>
      <c r="E180" s="2">
        <v>129.36000000000001</v>
      </c>
      <c r="F180" s="2">
        <v>2</v>
      </c>
      <c r="G180" s="2">
        <v>366.91</v>
      </c>
      <c r="H180">
        <f t="shared" si="2"/>
        <v>776.16000000000008</v>
      </c>
    </row>
    <row r="181" spans="1:8" x14ac:dyDescent="0.35">
      <c r="A181" s="1" t="s">
        <v>15</v>
      </c>
      <c r="B181" s="1" t="s">
        <v>208</v>
      </c>
      <c r="C181" s="1" t="s">
        <v>10</v>
      </c>
      <c r="D181" s="1">
        <v>5</v>
      </c>
      <c r="E181" s="2">
        <v>126.31</v>
      </c>
      <c r="F181" s="2">
        <v>83.72</v>
      </c>
      <c r="G181" s="2">
        <v>161</v>
      </c>
      <c r="H181">
        <f t="shared" si="2"/>
        <v>631.54999999999995</v>
      </c>
    </row>
    <row r="182" spans="1:8" x14ac:dyDescent="0.35">
      <c r="A182" s="1" t="s">
        <v>16</v>
      </c>
      <c r="B182" s="1" t="s">
        <v>209</v>
      </c>
      <c r="C182" s="1" t="s">
        <v>10</v>
      </c>
      <c r="D182" s="1">
        <v>1</v>
      </c>
      <c r="E182" s="2">
        <v>328.17</v>
      </c>
      <c r="F182" s="2">
        <v>328.17</v>
      </c>
      <c r="G182" s="2">
        <v>328.17</v>
      </c>
      <c r="H182">
        <f t="shared" si="2"/>
        <v>328.17</v>
      </c>
    </row>
    <row r="183" spans="1:8" x14ac:dyDescent="0.35">
      <c r="A183" s="1" t="s">
        <v>16</v>
      </c>
      <c r="B183" s="1" t="s">
        <v>210</v>
      </c>
      <c r="C183" s="1" t="s">
        <v>10</v>
      </c>
      <c r="D183" s="1">
        <v>3</v>
      </c>
      <c r="E183" s="2">
        <v>294.83999999999997</v>
      </c>
      <c r="F183" s="2">
        <v>159.03</v>
      </c>
      <c r="G183" s="2">
        <v>392.69</v>
      </c>
      <c r="H183">
        <f t="shared" si="2"/>
        <v>884.52</v>
      </c>
    </row>
    <row r="184" spans="1:8" x14ac:dyDescent="0.35">
      <c r="A184" s="1" t="s">
        <v>16</v>
      </c>
      <c r="B184" s="1" t="s">
        <v>211</v>
      </c>
      <c r="C184" s="1" t="s">
        <v>10</v>
      </c>
      <c r="D184" s="1">
        <v>1</v>
      </c>
      <c r="E184" s="2">
        <v>238.97</v>
      </c>
      <c r="F184" s="2">
        <v>238.97</v>
      </c>
      <c r="G184" s="2">
        <v>238.97</v>
      </c>
      <c r="H184">
        <f t="shared" si="2"/>
        <v>238.97</v>
      </c>
    </row>
    <row r="185" spans="1:8" x14ac:dyDescent="0.35">
      <c r="A185" s="1" t="s">
        <v>16</v>
      </c>
      <c r="B185" s="1" t="s">
        <v>212</v>
      </c>
      <c r="C185" s="1" t="s">
        <v>10</v>
      </c>
      <c r="D185" s="1">
        <v>1</v>
      </c>
      <c r="E185" s="2">
        <v>226.4</v>
      </c>
      <c r="F185" s="2">
        <v>226.4</v>
      </c>
      <c r="G185" s="2">
        <v>226.4</v>
      </c>
      <c r="H185">
        <f t="shared" si="2"/>
        <v>226.4</v>
      </c>
    </row>
    <row r="186" spans="1:8" x14ac:dyDescent="0.35">
      <c r="A186" s="1" t="s">
        <v>16</v>
      </c>
      <c r="B186" s="1" t="s">
        <v>213</v>
      </c>
      <c r="C186" s="1" t="s">
        <v>10</v>
      </c>
      <c r="D186" s="1">
        <v>2</v>
      </c>
      <c r="E186" s="2">
        <v>209.78</v>
      </c>
      <c r="F186" s="2">
        <v>133.66</v>
      </c>
      <c r="G186" s="2">
        <v>285.89</v>
      </c>
      <c r="H186">
        <f t="shared" si="2"/>
        <v>419.56</v>
      </c>
    </row>
    <row r="187" spans="1:8" x14ac:dyDescent="0.35">
      <c r="A187" s="1" t="s">
        <v>16</v>
      </c>
      <c r="B187" s="1" t="s">
        <v>214</v>
      </c>
      <c r="C187" s="1" t="s">
        <v>10</v>
      </c>
      <c r="D187" s="1">
        <v>3</v>
      </c>
      <c r="E187" s="2">
        <v>208.36</v>
      </c>
      <c r="F187" s="2">
        <v>73.75</v>
      </c>
      <c r="G187" s="2">
        <v>300.01</v>
      </c>
      <c r="H187">
        <f t="shared" si="2"/>
        <v>625.08000000000004</v>
      </c>
    </row>
    <row r="188" spans="1:8" x14ac:dyDescent="0.35">
      <c r="A188" s="1" t="s">
        <v>16</v>
      </c>
      <c r="B188" s="1" t="s">
        <v>215</v>
      </c>
      <c r="C188" s="1" t="s">
        <v>10</v>
      </c>
      <c r="D188" s="1">
        <v>4</v>
      </c>
      <c r="E188" s="2">
        <v>206.37</v>
      </c>
      <c r="F188" s="2">
        <v>26.04</v>
      </c>
      <c r="G188" s="2">
        <v>571</v>
      </c>
      <c r="H188">
        <f t="shared" si="2"/>
        <v>825.48</v>
      </c>
    </row>
    <row r="189" spans="1:8" x14ac:dyDescent="0.35">
      <c r="A189" s="1" t="s">
        <v>16</v>
      </c>
      <c r="B189" s="1" t="s">
        <v>216</v>
      </c>
      <c r="C189" s="1" t="s">
        <v>10</v>
      </c>
      <c r="D189" s="1">
        <v>3</v>
      </c>
      <c r="E189" s="2">
        <v>202.45</v>
      </c>
      <c r="F189" s="2">
        <v>105.3</v>
      </c>
      <c r="G189" s="2">
        <v>285.23</v>
      </c>
      <c r="H189">
        <f t="shared" si="2"/>
        <v>607.34999999999991</v>
      </c>
    </row>
    <row r="190" spans="1:8" x14ac:dyDescent="0.35">
      <c r="A190" s="1" t="s">
        <v>16</v>
      </c>
      <c r="B190" s="1" t="s">
        <v>217</v>
      </c>
      <c r="C190" s="1" t="s">
        <v>10</v>
      </c>
      <c r="D190" s="1">
        <v>3</v>
      </c>
      <c r="E190" s="2">
        <v>189.1</v>
      </c>
      <c r="F190" s="2">
        <v>134.03</v>
      </c>
      <c r="G190" s="2">
        <v>259.05</v>
      </c>
      <c r="H190">
        <f t="shared" si="2"/>
        <v>567.29999999999995</v>
      </c>
    </row>
    <row r="191" spans="1:8" x14ac:dyDescent="0.35">
      <c r="A191" s="1" t="s">
        <v>16</v>
      </c>
      <c r="B191" s="1" t="s">
        <v>218</v>
      </c>
      <c r="C191" s="1" t="s">
        <v>10</v>
      </c>
      <c r="D191" s="1">
        <v>3</v>
      </c>
      <c r="E191" s="2">
        <v>188.96</v>
      </c>
      <c r="F191" s="2">
        <v>82.03</v>
      </c>
      <c r="G191" s="2">
        <v>390.87</v>
      </c>
      <c r="H191">
        <f t="shared" si="2"/>
        <v>566.88</v>
      </c>
    </row>
    <row r="192" spans="1:8" x14ac:dyDescent="0.35">
      <c r="A192" s="1" t="s">
        <v>16</v>
      </c>
      <c r="B192" s="1" t="s">
        <v>219</v>
      </c>
      <c r="C192" s="1" t="s">
        <v>10</v>
      </c>
      <c r="D192" s="1">
        <v>8</v>
      </c>
      <c r="E192" s="2">
        <v>176.81</v>
      </c>
      <c r="F192" s="2">
        <v>75.78</v>
      </c>
      <c r="G192" s="2">
        <v>355.5</v>
      </c>
      <c r="H192">
        <f t="shared" si="2"/>
        <v>1414.48</v>
      </c>
    </row>
    <row r="193" spans="1:8" x14ac:dyDescent="0.35">
      <c r="A193" s="1" t="s">
        <v>16</v>
      </c>
      <c r="B193" s="1" t="s">
        <v>220</v>
      </c>
      <c r="C193" s="1" t="s">
        <v>10</v>
      </c>
      <c r="D193" s="1">
        <v>7</v>
      </c>
      <c r="E193" s="2">
        <v>162.19</v>
      </c>
      <c r="F193" s="2">
        <v>108.43</v>
      </c>
      <c r="G193" s="2">
        <v>353.09</v>
      </c>
      <c r="H193">
        <f t="shared" si="2"/>
        <v>1135.33</v>
      </c>
    </row>
    <row r="194" spans="1:8" x14ac:dyDescent="0.35">
      <c r="A194" s="1" t="s">
        <v>16</v>
      </c>
      <c r="B194" s="1" t="s">
        <v>221</v>
      </c>
      <c r="C194" s="1" t="s">
        <v>10</v>
      </c>
      <c r="D194" s="1">
        <v>4</v>
      </c>
      <c r="E194" s="2">
        <v>159.87</v>
      </c>
      <c r="F194" s="2">
        <v>82.98</v>
      </c>
      <c r="G194" s="2">
        <v>257</v>
      </c>
      <c r="H194">
        <f t="shared" si="2"/>
        <v>639.48</v>
      </c>
    </row>
    <row r="195" spans="1:8" x14ac:dyDescent="0.35">
      <c r="A195" s="1" t="s">
        <v>16</v>
      </c>
      <c r="B195" s="1" t="s">
        <v>222</v>
      </c>
      <c r="C195" s="1" t="s">
        <v>10</v>
      </c>
      <c r="D195" s="1">
        <v>15</v>
      </c>
      <c r="E195" s="2">
        <v>156.11000000000001</v>
      </c>
      <c r="F195" s="2">
        <v>86.63</v>
      </c>
      <c r="G195" s="2">
        <v>303.3</v>
      </c>
      <c r="H195">
        <f t="shared" si="2"/>
        <v>2341.65</v>
      </c>
    </row>
    <row r="196" spans="1:8" x14ac:dyDescent="0.35">
      <c r="A196" s="1" t="s">
        <v>16</v>
      </c>
      <c r="B196" s="1" t="s">
        <v>223</v>
      </c>
      <c r="C196" s="1" t="s">
        <v>10</v>
      </c>
      <c r="D196" s="1">
        <v>2</v>
      </c>
      <c r="E196" s="2">
        <v>147.46</v>
      </c>
      <c r="F196" s="2">
        <v>91.1</v>
      </c>
      <c r="G196" s="2">
        <v>203.81</v>
      </c>
      <c r="H196">
        <f t="shared" ref="H196:H259" si="3">E196*D196</f>
        <v>294.92</v>
      </c>
    </row>
    <row r="197" spans="1:8" x14ac:dyDescent="0.35">
      <c r="A197" s="1" t="s">
        <v>16</v>
      </c>
      <c r="B197" s="1" t="s">
        <v>224</v>
      </c>
      <c r="C197" s="1" t="s">
        <v>10</v>
      </c>
      <c r="D197" s="1">
        <v>4</v>
      </c>
      <c r="E197" s="2">
        <v>135.19999999999999</v>
      </c>
      <c r="F197" s="2">
        <v>117.84</v>
      </c>
      <c r="G197" s="2">
        <v>161.35</v>
      </c>
      <c r="H197">
        <f t="shared" si="3"/>
        <v>540.79999999999995</v>
      </c>
    </row>
    <row r="198" spans="1:8" x14ac:dyDescent="0.35">
      <c r="A198" s="1" t="s">
        <v>16</v>
      </c>
      <c r="B198" s="1" t="s">
        <v>225</v>
      </c>
      <c r="C198" s="1" t="s">
        <v>10</v>
      </c>
      <c r="D198" s="1">
        <v>5</v>
      </c>
      <c r="E198" s="2">
        <v>131.88999999999999</v>
      </c>
      <c r="F198" s="2">
        <v>84.05</v>
      </c>
      <c r="G198" s="2">
        <v>217.67</v>
      </c>
      <c r="H198">
        <f t="shared" si="3"/>
        <v>659.44999999999993</v>
      </c>
    </row>
    <row r="199" spans="1:8" x14ac:dyDescent="0.35">
      <c r="A199" s="1" t="s">
        <v>16</v>
      </c>
      <c r="B199" s="1" t="s">
        <v>226</v>
      </c>
      <c r="C199" s="1" t="s">
        <v>10</v>
      </c>
      <c r="D199" s="1">
        <v>2</v>
      </c>
      <c r="E199" s="2">
        <v>131.29</v>
      </c>
      <c r="F199" s="2">
        <v>120.61</v>
      </c>
      <c r="G199" s="2">
        <v>141.96</v>
      </c>
      <c r="H199">
        <f t="shared" si="3"/>
        <v>262.58</v>
      </c>
    </row>
    <row r="200" spans="1:8" x14ac:dyDescent="0.35">
      <c r="A200" s="1" t="s">
        <v>16</v>
      </c>
      <c r="B200" s="1" t="s">
        <v>227</v>
      </c>
      <c r="C200" s="1" t="s">
        <v>10</v>
      </c>
      <c r="D200" s="1">
        <v>2</v>
      </c>
      <c r="E200" s="2">
        <v>130.25</v>
      </c>
      <c r="F200" s="2">
        <v>126.1</v>
      </c>
      <c r="G200" s="2">
        <v>134.4</v>
      </c>
      <c r="H200">
        <f t="shared" si="3"/>
        <v>260.5</v>
      </c>
    </row>
    <row r="201" spans="1:8" x14ac:dyDescent="0.35">
      <c r="A201" s="1" t="s">
        <v>16</v>
      </c>
      <c r="B201" s="1" t="s">
        <v>228</v>
      </c>
      <c r="C201" s="1" t="s">
        <v>10</v>
      </c>
      <c r="D201" s="1">
        <v>13</v>
      </c>
      <c r="E201" s="2">
        <v>122.13</v>
      </c>
      <c r="F201" s="2">
        <v>82.47</v>
      </c>
      <c r="G201" s="2">
        <v>200.09</v>
      </c>
      <c r="H201">
        <f t="shared" si="3"/>
        <v>1587.69</v>
      </c>
    </row>
    <row r="202" spans="1:8" x14ac:dyDescent="0.35">
      <c r="A202" s="1" t="s">
        <v>16</v>
      </c>
      <c r="B202" s="1" t="s">
        <v>229</v>
      </c>
      <c r="C202" s="1" t="s">
        <v>10</v>
      </c>
      <c r="D202" s="1">
        <v>2</v>
      </c>
      <c r="E202" s="2">
        <v>117.23</v>
      </c>
      <c r="F202" s="2">
        <v>103.8</v>
      </c>
      <c r="G202" s="2">
        <v>130.65</v>
      </c>
      <c r="H202">
        <f t="shared" si="3"/>
        <v>234.46</v>
      </c>
    </row>
    <row r="203" spans="1:8" x14ac:dyDescent="0.35">
      <c r="A203" s="1" t="s">
        <v>16</v>
      </c>
      <c r="B203" s="1" t="s">
        <v>230</v>
      </c>
      <c r="C203" s="1" t="s">
        <v>10</v>
      </c>
      <c r="D203" s="1">
        <v>1</v>
      </c>
      <c r="E203" s="2">
        <v>117.15</v>
      </c>
      <c r="F203" s="2">
        <v>117.15</v>
      </c>
      <c r="G203" s="2">
        <v>117.15</v>
      </c>
      <c r="H203">
        <f t="shared" si="3"/>
        <v>117.15</v>
      </c>
    </row>
    <row r="204" spans="1:8" x14ac:dyDescent="0.35">
      <c r="A204" s="1" t="s">
        <v>16</v>
      </c>
      <c r="B204" s="1" t="s">
        <v>231</v>
      </c>
      <c r="C204" s="1" t="s">
        <v>10</v>
      </c>
      <c r="D204" s="1">
        <v>1</v>
      </c>
      <c r="E204" s="2">
        <v>110.4</v>
      </c>
      <c r="F204" s="2">
        <v>110.4</v>
      </c>
      <c r="G204" s="2">
        <v>110.4</v>
      </c>
      <c r="H204">
        <f t="shared" si="3"/>
        <v>110.4</v>
      </c>
    </row>
    <row r="205" spans="1:8" x14ac:dyDescent="0.35">
      <c r="A205" s="1" t="s">
        <v>16</v>
      </c>
      <c r="B205" s="1" t="s">
        <v>232</v>
      </c>
      <c r="C205" s="1" t="s">
        <v>10</v>
      </c>
      <c r="D205" s="1">
        <v>3</v>
      </c>
      <c r="E205" s="2">
        <v>105.35</v>
      </c>
      <c r="F205" s="2">
        <v>76.33</v>
      </c>
      <c r="G205" s="2">
        <v>119.87</v>
      </c>
      <c r="H205">
        <f t="shared" si="3"/>
        <v>316.04999999999995</v>
      </c>
    </row>
    <row r="206" spans="1:8" x14ac:dyDescent="0.35">
      <c r="A206" s="1" t="s">
        <v>16</v>
      </c>
      <c r="B206" s="1" t="s">
        <v>233</v>
      </c>
      <c r="C206" s="1" t="s">
        <v>10</v>
      </c>
      <c r="D206" s="1">
        <v>2</v>
      </c>
      <c r="E206" s="2">
        <v>105.1</v>
      </c>
      <c r="F206" s="2">
        <v>97.73</v>
      </c>
      <c r="G206" s="2">
        <v>112.47</v>
      </c>
      <c r="H206">
        <f t="shared" si="3"/>
        <v>210.2</v>
      </c>
    </row>
    <row r="207" spans="1:8" x14ac:dyDescent="0.35">
      <c r="A207" s="1" t="s">
        <v>16</v>
      </c>
      <c r="B207" s="1" t="s">
        <v>234</v>
      </c>
      <c r="C207" s="1" t="s">
        <v>10</v>
      </c>
      <c r="D207" s="1">
        <v>2</v>
      </c>
      <c r="E207" s="2">
        <v>101.09</v>
      </c>
      <c r="F207" s="2">
        <v>94.64</v>
      </c>
      <c r="G207" s="2">
        <v>107.53</v>
      </c>
      <c r="H207">
        <f t="shared" si="3"/>
        <v>202.18</v>
      </c>
    </row>
    <row r="208" spans="1:8" x14ac:dyDescent="0.35">
      <c r="A208" s="1" t="s">
        <v>16</v>
      </c>
      <c r="B208" s="1" t="s">
        <v>235</v>
      </c>
      <c r="C208" s="1" t="s">
        <v>10</v>
      </c>
      <c r="D208" s="1">
        <v>8</v>
      </c>
      <c r="E208" s="2">
        <v>100.47</v>
      </c>
      <c r="F208" s="2">
        <v>63.01</v>
      </c>
      <c r="G208" s="2">
        <v>175.9</v>
      </c>
      <c r="H208">
        <f t="shared" si="3"/>
        <v>803.76</v>
      </c>
    </row>
    <row r="209" spans="1:8" x14ac:dyDescent="0.35">
      <c r="A209" s="1" t="s">
        <v>16</v>
      </c>
      <c r="B209" s="1" t="s">
        <v>236</v>
      </c>
      <c r="C209" s="1" t="s">
        <v>10</v>
      </c>
      <c r="D209" s="1">
        <v>2</v>
      </c>
      <c r="E209" s="2">
        <v>98.65</v>
      </c>
      <c r="F209" s="2">
        <v>97.73</v>
      </c>
      <c r="G209" s="2">
        <v>99.56</v>
      </c>
      <c r="H209">
        <f t="shared" si="3"/>
        <v>197.3</v>
      </c>
    </row>
    <row r="210" spans="1:8" x14ac:dyDescent="0.35">
      <c r="A210" s="1" t="s">
        <v>16</v>
      </c>
      <c r="B210" s="1" t="s">
        <v>237</v>
      </c>
      <c r="C210" s="1" t="s">
        <v>10</v>
      </c>
      <c r="D210" s="1">
        <v>8</v>
      </c>
      <c r="E210" s="2">
        <v>92.49</v>
      </c>
      <c r="F210" s="2">
        <v>55.77</v>
      </c>
      <c r="G210" s="2">
        <v>138.30000000000001</v>
      </c>
      <c r="H210">
        <f t="shared" si="3"/>
        <v>739.92</v>
      </c>
    </row>
    <row r="211" spans="1:8" x14ac:dyDescent="0.35">
      <c r="A211" s="1" t="s">
        <v>16</v>
      </c>
      <c r="B211" s="1" t="s">
        <v>238</v>
      </c>
      <c r="C211" s="1" t="s">
        <v>10</v>
      </c>
      <c r="D211" s="1">
        <v>3</v>
      </c>
      <c r="E211" s="2">
        <v>91.73</v>
      </c>
      <c r="F211" s="2">
        <v>1</v>
      </c>
      <c r="G211" s="2">
        <v>140.71</v>
      </c>
      <c r="H211">
        <f t="shared" si="3"/>
        <v>275.19</v>
      </c>
    </row>
    <row r="212" spans="1:8" x14ac:dyDescent="0.35">
      <c r="A212" s="1" t="s">
        <v>16</v>
      </c>
      <c r="B212" s="1" t="s">
        <v>239</v>
      </c>
      <c r="C212" s="1" t="s">
        <v>10</v>
      </c>
      <c r="D212" s="1">
        <v>3</v>
      </c>
      <c r="E212" s="2">
        <v>91.14</v>
      </c>
      <c r="F212" s="2">
        <v>51.71</v>
      </c>
      <c r="G212" s="2">
        <v>113.2</v>
      </c>
      <c r="H212">
        <f t="shared" si="3"/>
        <v>273.42</v>
      </c>
    </row>
    <row r="213" spans="1:8" x14ac:dyDescent="0.35">
      <c r="A213" s="1" t="s">
        <v>16</v>
      </c>
      <c r="B213" s="1" t="s">
        <v>240</v>
      </c>
      <c r="C213" s="1" t="s">
        <v>10</v>
      </c>
      <c r="D213" s="1">
        <v>4</v>
      </c>
      <c r="E213" s="2">
        <v>90.09</v>
      </c>
      <c r="F213" s="2">
        <v>65.150000000000006</v>
      </c>
      <c r="G213" s="2">
        <v>100.7</v>
      </c>
      <c r="H213">
        <f t="shared" si="3"/>
        <v>360.36</v>
      </c>
    </row>
    <row r="214" spans="1:8" x14ac:dyDescent="0.35">
      <c r="A214" s="1" t="s">
        <v>16</v>
      </c>
      <c r="B214" s="1" t="s">
        <v>241</v>
      </c>
      <c r="C214" s="1" t="s">
        <v>10</v>
      </c>
      <c r="D214" s="1">
        <v>4</v>
      </c>
      <c r="E214" s="2">
        <v>85.21</v>
      </c>
      <c r="F214" s="2">
        <v>69.69</v>
      </c>
      <c r="G214" s="2">
        <v>117.8</v>
      </c>
      <c r="H214">
        <f t="shared" si="3"/>
        <v>340.84</v>
      </c>
    </row>
    <row r="215" spans="1:8" x14ac:dyDescent="0.35">
      <c r="A215" s="1" t="s">
        <v>16</v>
      </c>
      <c r="B215" s="1" t="s">
        <v>242</v>
      </c>
      <c r="C215" s="1" t="s">
        <v>10</v>
      </c>
      <c r="D215" s="1">
        <v>2</v>
      </c>
      <c r="E215" s="2">
        <v>82.05</v>
      </c>
      <c r="F215" s="2">
        <v>78.17</v>
      </c>
      <c r="G215" s="2">
        <v>85.93</v>
      </c>
      <c r="H215">
        <f t="shared" si="3"/>
        <v>164.1</v>
      </c>
    </row>
    <row r="216" spans="1:8" x14ac:dyDescent="0.35">
      <c r="A216" s="1" t="s">
        <v>16</v>
      </c>
      <c r="B216" s="1" t="s">
        <v>243</v>
      </c>
      <c r="C216" s="1" t="s">
        <v>10</v>
      </c>
      <c r="D216" s="1">
        <v>1</v>
      </c>
      <c r="E216" s="2">
        <v>79</v>
      </c>
      <c r="F216" s="2">
        <v>79</v>
      </c>
      <c r="G216" s="2">
        <v>79</v>
      </c>
      <c r="H216">
        <f t="shared" si="3"/>
        <v>79</v>
      </c>
    </row>
    <row r="217" spans="1:8" x14ac:dyDescent="0.35">
      <c r="A217" s="1" t="s">
        <v>16</v>
      </c>
      <c r="B217" s="1" t="s">
        <v>244</v>
      </c>
      <c r="C217" s="1" t="s">
        <v>10</v>
      </c>
      <c r="D217" s="1">
        <v>1</v>
      </c>
      <c r="E217" s="2">
        <v>73.400000000000006</v>
      </c>
      <c r="F217" s="2">
        <v>73.400000000000006</v>
      </c>
      <c r="G217" s="2">
        <v>73.400000000000006</v>
      </c>
      <c r="H217">
        <f t="shared" si="3"/>
        <v>73.400000000000006</v>
      </c>
    </row>
    <row r="218" spans="1:8" x14ac:dyDescent="0.35">
      <c r="A218" s="1" t="s">
        <v>16</v>
      </c>
      <c r="B218" s="1" t="s">
        <v>245</v>
      </c>
      <c r="C218" s="1" t="s">
        <v>10</v>
      </c>
      <c r="D218" s="1">
        <v>1</v>
      </c>
      <c r="E218" s="2">
        <v>1</v>
      </c>
      <c r="F218" s="2">
        <v>1</v>
      </c>
      <c r="G218" s="2">
        <v>1</v>
      </c>
      <c r="H218">
        <f t="shared" si="3"/>
        <v>1</v>
      </c>
    </row>
    <row r="219" spans="1:8" x14ac:dyDescent="0.35">
      <c r="A219" s="1" t="s">
        <v>12</v>
      </c>
      <c r="B219" s="1" t="s">
        <v>85</v>
      </c>
      <c r="C219" s="1" t="s">
        <v>13</v>
      </c>
      <c r="D219" s="1">
        <v>8</v>
      </c>
      <c r="E219" s="2">
        <v>598.5</v>
      </c>
      <c r="F219" s="2">
        <v>399</v>
      </c>
      <c r="G219" s="2">
        <v>798</v>
      </c>
      <c r="H219">
        <f t="shared" si="3"/>
        <v>4788</v>
      </c>
    </row>
    <row r="220" spans="1:8" x14ac:dyDescent="0.35">
      <c r="A220" s="1" t="s">
        <v>12</v>
      </c>
      <c r="B220" s="1" t="s">
        <v>83</v>
      </c>
      <c r="C220" s="1" t="s">
        <v>13</v>
      </c>
      <c r="D220" s="1">
        <v>4</v>
      </c>
      <c r="E220" s="2">
        <v>571.25</v>
      </c>
      <c r="F220" s="2">
        <v>564</v>
      </c>
      <c r="G220" s="2">
        <v>593</v>
      </c>
      <c r="H220">
        <f t="shared" si="3"/>
        <v>2285</v>
      </c>
    </row>
    <row r="221" spans="1:8" x14ac:dyDescent="0.35">
      <c r="A221" s="1" t="s">
        <v>12</v>
      </c>
      <c r="B221" s="1" t="s">
        <v>90</v>
      </c>
      <c r="C221" s="1" t="s">
        <v>13</v>
      </c>
      <c r="D221" s="1">
        <v>1</v>
      </c>
      <c r="E221" s="2">
        <v>446.7</v>
      </c>
      <c r="F221" s="2">
        <v>446.7</v>
      </c>
      <c r="G221" s="2">
        <v>446.7</v>
      </c>
      <c r="H221">
        <f t="shared" si="3"/>
        <v>446.7</v>
      </c>
    </row>
    <row r="222" spans="1:8" x14ac:dyDescent="0.35">
      <c r="A222" s="1" t="s">
        <v>12</v>
      </c>
      <c r="B222" s="1" t="s">
        <v>97</v>
      </c>
      <c r="C222" s="1" t="s">
        <v>13</v>
      </c>
      <c r="D222" s="1">
        <v>24</v>
      </c>
      <c r="E222" s="2">
        <v>317.42</v>
      </c>
      <c r="F222" s="2">
        <v>210</v>
      </c>
      <c r="G222" s="2">
        <v>549</v>
      </c>
      <c r="H222">
        <f t="shared" si="3"/>
        <v>7618.08</v>
      </c>
    </row>
    <row r="223" spans="1:8" x14ac:dyDescent="0.35">
      <c r="A223" s="1" t="s">
        <v>12</v>
      </c>
      <c r="B223" s="1" t="s">
        <v>109</v>
      </c>
      <c r="C223" s="1" t="s">
        <v>13</v>
      </c>
      <c r="D223" s="1">
        <v>6</v>
      </c>
      <c r="E223" s="2">
        <v>241.37</v>
      </c>
      <c r="F223" s="2">
        <v>185</v>
      </c>
      <c r="G223" s="2">
        <v>399.23</v>
      </c>
      <c r="H223">
        <f t="shared" si="3"/>
        <v>1448.22</v>
      </c>
    </row>
    <row r="224" spans="1:8" x14ac:dyDescent="0.35">
      <c r="A224" s="1" t="s">
        <v>14</v>
      </c>
      <c r="B224" s="1" t="s">
        <v>133</v>
      </c>
      <c r="C224" s="1" t="s">
        <v>13</v>
      </c>
      <c r="D224" s="1">
        <v>2</v>
      </c>
      <c r="E224" s="2">
        <v>587</v>
      </c>
      <c r="F224" s="2">
        <v>549</v>
      </c>
      <c r="G224" s="2">
        <v>625</v>
      </c>
      <c r="H224">
        <f t="shared" si="3"/>
        <v>1174</v>
      </c>
    </row>
    <row r="225" spans="1:8" x14ac:dyDescent="0.35">
      <c r="A225" s="1" t="s">
        <v>14</v>
      </c>
      <c r="B225" s="1" t="s">
        <v>156</v>
      </c>
      <c r="C225" s="1" t="s">
        <v>13</v>
      </c>
      <c r="D225" s="1">
        <v>10</v>
      </c>
      <c r="E225" s="2">
        <v>519.28</v>
      </c>
      <c r="F225" s="2">
        <v>215</v>
      </c>
      <c r="G225" s="2">
        <v>953.6</v>
      </c>
      <c r="H225">
        <f t="shared" si="3"/>
        <v>5192.7999999999993</v>
      </c>
    </row>
    <row r="226" spans="1:8" x14ac:dyDescent="0.35">
      <c r="A226" s="1" t="s">
        <v>14</v>
      </c>
      <c r="B226" s="1" t="s">
        <v>131</v>
      </c>
      <c r="C226" s="1" t="s">
        <v>13</v>
      </c>
      <c r="D226" s="1">
        <v>10</v>
      </c>
      <c r="E226" s="2">
        <v>491.33</v>
      </c>
      <c r="F226" s="2">
        <v>254</v>
      </c>
      <c r="G226" s="2">
        <v>796</v>
      </c>
      <c r="H226">
        <f t="shared" si="3"/>
        <v>4913.3</v>
      </c>
    </row>
    <row r="227" spans="1:8" x14ac:dyDescent="0.35">
      <c r="A227" s="1" t="s">
        <v>14</v>
      </c>
      <c r="B227" s="1" t="s">
        <v>132</v>
      </c>
      <c r="C227" s="1" t="s">
        <v>13</v>
      </c>
      <c r="D227" s="1">
        <v>62</v>
      </c>
      <c r="E227" s="2">
        <v>462.84</v>
      </c>
      <c r="F227" s="2">
        <v>1</v>
      </c>
      <c r="G227" s="2">
        <v>969</v>
      </c>
      <c r="H227">
        <f t="shared" si="3"/>
        <v>28696.079999999998</v>
      </c>
    </row>
    <row r="228" spans="1:8" x14ac:dyDescent="0.35">
      <c r="A228" s="1" t="s">
        <v>14</v>
      </c>
      <c r="B228" s="1" t="s">
        <v>151</v>
      </c>
      <c r="C228" s="1" t="s">
        <v>13</v>
      </c>
      <c r="D228" s="1">
        <v>42</v>
      </c>
      <c r="E228" s="2">
        <v>451.48</v>
      </c>
      <c r="F228" s="2">
        <v>1</v>
      </c>
      <c r="G228" s="2">
        <v>930.77</v>
      </c>
      <c r="H228">
        <f t="shared" si="3"/>
        <v>18962.16</v>
      </c>
    </row>
    <row r="229" spans="1:8" x14ac:dyDescent="0.35">
      <c r="A229" s="1" t="s">
        <v>14</v>
      </c>
      <c r="B229" s="1" t="s">
        <v>137</v>
      </c>
      <c r="C229" s="1" t="s">
        <v>13</v>
      </c>
      <c r="D229" s="1">
        <v>33</v>
      </c>
      <c r="E229" s="2">
        <v>403.53</v>
      </c>
      <c r="F229" s="2">
        <v>1</v>
      </c>
      <c r="G229" s="2">
        <v>888.2</v>
      </c>
      <c r="H229">
        <f t="shared" si="3"/>
        <v>13316.49</v>
      </c>
    </row>
    <row r="230" spans="1:8" x14ac:dyDescent="0.35">
      <c r="A230" s="1" t="s">
        <v>14</v>
      </c>
      <c r="B230" s="1" t="s">
        <v>142</v>
      </c>
      <c r="C230" s="1" t="s">
        <v>13</v>
      </c>
      <c r="D230" s="1">
        <v>38</v>
      </c>
      <c r="E230" s="2">
        <v>376.49</v>
      </c>
      <c r="F230" s="2">
        <v>1</v>
      </c>
      <c r="G230" s="2">
        <v>920</v>
      </c>
      <c r="H230">
        <f t="shared" si="3"/>
        <v>14306.62</v>
      </c>
    </row>
    <row r="231" spans="1:8" x14ac:dyDescent="0.35">
      <c r="A231" s="1" t="s">
        <v>14</v>
      </c>
      <c r="B231" s="1" t="s">
        <v>129</v>
      </c>
      <c r="C231" s="1" t="s">
        <v>13</v>
      </c>
      <c r="D231" s="1">
        <v>39</v>
      </c>
      <c r="E231" s="2">
        <v>371.38</v>
      </c>
      <c r="F231" s="2">
        <v>1</v>
      </c>
      <c r="G231" s="2">
        <v>988.8</v>
      </c>
      <c r="H231">
        <f t="shared" si="3"/>
        <v>14483.82</v>
      </c>
    </row>
    <row r="232" spans="1:8" x14ac:dyDescent="0.35">
      <c r="A232" s="1" t="s">
        <v>14</v>
      </c>
      <c r="B232" s="1" t="s">
        <v>130</v>
      </c>
      <c r="C232" s="1" t="s">
        <v>13</v>
      </c>
      <c r="D232" s="1">
        <v>5</v>
      </c>
      <c r="E232" s="2">
        <v>360.65</v>
      </c>
      <c r="F232" s="2">
        <v>252.81</v>
      </c>
      <c r="G232" s="2">
        <v>584.01</v>
      </c>
      <c r="H232">
        <f t="shared" si="3"/>
        <v>1803.25</v>
      </c>
    </row>
    <row r="233" spans="1:8" x14ac:dyDescent="0.35">
      <c r="A233" s="1" t="s">
        <v>14</v>
      </c>
      <c r="B233" s="1" t="s">
        <v>138</v>
      </c>
      <c r="C233" s="1" t="s">
        <v>13</v>
      </c>
      <c r="D233" s="1">
        <v>46</v>
      </c>
      <c r="E233" s="2">
        <v>356.51</v>
      </c>
      <c r="F233" s="2">
        <v>1</v>
      </c>
      <c r="G233" s="2">
        <v>636</v>
      </c>
      <c r="H233">
        <f t="shared" si="3"/>
        <v>16399.46</v>
      </c>
    </row>
    <row r="234" spans="1:8" x14ac:dyDescent="0.35">
      <c r="A234" s="1" t="s">
        <v>14</v>
      </c>
      <c r="B234" s="1" t="s">
        <v>141</v>
      </c>
      <c r="C234" s="1" t="s">
        <v>13</v>
      </c>
      <c r="D234" s="1">
        <v>23</v>
      </c>
      <c r="E234" s="2">
        <v>327.48</v>
      </c>
      <c r="F234" s="2">
        <v>122</v>
      </c>
      <c r="G234" s="2">
        <v>922</v>
      </c>
      <c r="H234">
        <f t="shared" si="3"/>
        <v>7532.0400000000009</v>
      </c>
    </row>
    <row r="235" spans="1:8" x14ac:dyDescent="0.35">
      <c r="A235" s="1" t="s">
        <v>14</v>
      </c>
      <c r="B235" s="1" t="s">
        <v>154</v>
      </c>
      <c r="C235" s="1" t="s">
        <v>13</v>
      </c>
      <c r="D235" s="1">
        <v>1</v>
      </c>
      <c r="E235" s="2">
        <v>250</v>
      </c>
      <c r="F235" s="2">
        <v>250</v>
      </c>
      <c r="G235" s="2">
        <v>250</v>
      </c>
      <c r="H235">
        <f t="shared" si="3"/>
        <v>250</v>
      </c>
    </row>
    <row r="236" spans="1:8" x14ac:dyDescent="0.35">
      <c r="A236" s="1" t="s">
        <v>14</v>
      </c>
      <c r="B236" s="1" t="s">
        <v>148</v>
      </c>
      <c r="C236" s="1" t="s">
        <v>13</v>
      </c>
      <c r="D236" s="1">
        <v>4</v>
      </c>
      <c r="E236" s="2">
        <v>211.75</v>
      </c>
      <c r="F236" s="2">
        <v>177</v>
      </c>
      <c r="G236" s="2">
        <v>243</v>
      </c>
      <c r="H236">
        <f t="shared" si="3"/>
        <v>847</v>
      </c>
    </row>
    <row r="237" spans="1:8" x14ac:dyDescent="0.35">
      <c r="A237" s="1" t="s">
        <v>14</v>
      </c>
      <c r="B237" s="1" t="s">
        <v>146</v>
      </c>
      <c r="C237" s="1" t="s">
        <v>13</v>
      </c>
      <c r="D237" s="1">
        <v>31</v>
      </c>
      <c r="E237" s="2">
        <v>176.71</v>
      </c>
      <c r="F237" s="2">
        <v>1</v>
      </c>
      <c r="G237" s="2">
        <v>932</v>
      </c>
      <c r="H237">
        <f t="shared" si="3"/>
        <v>5478.01</v>
      </c>
    </row>
    <row r="238" spans="1:8" x14ac:dyDescent="0.35">
      <c r="A238" s="1" t="s">
        <v>15</v>
      </c>
      <c r="B238" s="1" t="s">
        <v>166</v>
      </c>
      <c r="C238" s="1" t="s">
        <v>13</v>
      </c>
      <c r="D238" s="1">
        <v>89</v>
      </c>
      <c r="E238" s="2">
        <v>389.47</v>
      </c>
      <c r="F238" s="2">
        <v>1</v>
      </c>
      <c r="G238" s="2">
        <v>933</v>
      </c>
      <c r="H238">
        <f t="shared" si="3"/>
        <v>34662.83</v>
      </c>
    </row>
    <row r="239" spans="1:8" x14ac:dyDescent="0.35">
      <c r="A239" s="1" t="s">
        <v>15</v>
      </c>
      <c r="B239" s="1" t="s">
        <v>181</v>
      </c>
      <c r="C239" s="1" t="s">
        <v>13</v>
      </c>
      <c r="D239" s="1">
        <v>2</v>
      </c>
      <c r="E239" s="2">
        <v>164.5</v>
      </c>
      <c r="F239" s="2">
        <v>158</v>
      </c>
      <c r="G239" s="2">
        <v>171</v>
      </c>
      <c r="H239">
        <f t="shared" si="3"/>
        <v>329</v>
      </c>
    </row>
    <row r="240" spans="1:8" x14ac:dyDescent="0.35">
      <c r="A240" s="1" t="s">
        <v>8</v>
      </c>
      <c r="B240" s="1" t="s">
        <v>51</v>
      </c>
      <c r="C240" s="1" t="s">
        <v>9</v>
      </c>
      <c r="D240" s="1">
        <v>5</v>
      </c>
      <c r="E240" s="2">
        <v>242.59</v>
      </c>
      <c r="F240" s="2">
        <v>67.680000000000007</v>
      </c>
      <c r="G240" s="2">
        <v>888.51</v>
      </c>
      <c r="H240">
        <f t="shared" si="3"/>
        <v>1212.95</v>
      </c>
    </row>
    <row r="241" spans="1:8" x14ac:dyDescent="0.35">
      <c r="A241" s="1" t="s">
        <v>8</v>
      </c>
      <c r="B241" s="1" t="s">
        <v>40</v>
      </c>
      <c r="C241" s="1" t="s">
        <v>9</v>
      </c>
      <c r="D241" s="1">
        <v>3</v>
      </c>
      <c r="E241" s="2">
        <v>233.91</v>
      </c>
      <c r="F241" s="2">
        <v>36.39</v>
      </c>
      <c r="G241" s="2">
        <v>502.33</v>
      </c>
      <c r="H241">
        <f t="shared" si="3"/>
        <v>701.73</v>
      </c>
    </row>
    <row r="242" spans="1:8" x14ac:dyDescent="0.35">
      <c r="A242" s="1" t="s">
        <v>8</v>
      </c>
      <c r="B242" s="1" t="s">
        <v>34</v>
      </c>
      <c r="C242" s="1" t="s">
        <v>9</v>
      </c>
      <c r="D242" s="1">
        <v>1</v>
      </c>
      <c r="E242" s="2">
        <v>203.1</v>
      </c>
      <c r="F242" s="2">
        <v>203.1</v>
      </c>
      <c r="G242" s="2">
        <v>203.1</v>
      </c>
      <c r="H242">
        <f t="shared" si="3"/>
        <v>203.1</v>
      </c>
    </row>
    <row r="243" spans="1:8" x14ac:dyDescent="0.35">
      <c r="A243" s="1" t="s">
        <v>8</v>
      </c>
      <c r="B243" s="1" t="s">
        <v>46</v>
      </c>
      <c r="C243" s="1" t="s">
        <v>9</v>
      </c>
      <c r="D243" s="1">
        <v>5</v>
      </c>
      <c r="E243" s="2">
        <v>199.07</v>
      </c>
      <c r="F243" s="2">
        <v>125</v>
      </c>
      <c r="G243" s="2">
        <v>350.94</v>
      </c>
      <c r="H243">
        <f t="shared" si="3"/>
        <v>995.34999999999991</v>
      </c>
    </row>
    <row r="244" spans="1:8" x14ac:dyDescent="0.35">
      <c r="A244" s="1" t="s">
        <v>8</v>
      </c>
      <c r="B244" s="1" t="s">
        <v>55</v>
      </c>
      <c r="C244" s="1" t="s">
        <v>9</v>
      </c>
      <c r="D244" s="1">
        <v>5</v>
      </c>
      <c r="E244" s="2">
        <v>177.18</v>
      </c>
      <c r="F244" s="2">
        <v>91.44</v>
      </c>
      <c r="G244" s="2">
        <v>265.5</v>
      </c>
      <c r="H244">
        <f t="shared" si="3"/>
        <v>885.90000000000009</v>
      </c>
    </row>
    <row r="245" spans="1:8" x14ac:dyDescent="0.35">
      <c r="A245" s="1" t="s">
        <v>8</v>
      </c>
      <c r="B245" s="1" t="s">
        <v>41</v>
      </c>
      <c r="C245" s="1" t="s">
        <v>9</v>
      </c>
      <c r="D245" s="1">
        <v>3</v>
      </c>
      <c r="E245" s="2">
        <v>171.08</v>
      </c>
      <c r="F245" s="2">
        <v>111.33</v>
      </c>
      <c r="G245" s="2">
        <v>202.23</v>
      </c>
      <c r="H245">
        <f t="shared" si="3"/>
        <v>513.24</v>
      </c>
    </row>
    <row r="246" spans="1:8" x14ac:dyDescent="0.35">
      <c r="A246" s="1" t="s">
        <v>8</v>
      </c>
      <c r="B246" s="1" t="s">
        <v>78</v>
      </c>
      <c r="C246" s="1" t="s">
        <v>9</v>
      </c>
      <c r="D246" s="1">
        <v>1</v>
      </c>
      <c r="E246" s="2">
        <v>164.47</v>
      </c>
      <c r="F246" s="2">
        <v>164.47</v>
      </c>
      <c r="G246" s="2">
        <v>164.47</v>
      </c>
      <c r="H246">
        <f t="shared" si="3"/>
        <v>164.47</v>
      </c>
    </row>
    <row r="247" spans="1:8" x14ac:dyDescent="0.35">
      <c r="A247" s="1" t="s">
        <v>8</v>
      </c>
      <c r="B247" s="1" t="s">
        <v>67</v>
      </c>
      <c r="C247" s="1" t="s">
        <v>9</v>
      </c>
      <c r="D247" s="1">
        <v>6</v>
      </c>
      <c r="E247" s="2">
        <v>164.24</v>
      </c>
      <c r="F247" s="2">
        <v>53.12</v>
      </c>
      <c r="G247" s="2">
        <v>333.7</v>
      </c>
      <c r="H247">
        <f t="shared" si="3"/>
        <v>985.44</v>
      </c>
    </row>
    <row r="248" spans="1:8" x14ac:dyDescent="0.35">
      <c r="A248" s="1" t="s">
        <v>8</v>
      </c>
      <c r="B248" s="1" t="s">
        <v>43</v>
      </c>
      <c r="C248" s="1" t="s">
        <v>9</v>
      </c>
      <c r="D248" s="1">
        <v>5</v>
      </c>
      <c r="E248" s="2">
        <v>157.75</v>
      </c>
      <c r="F248" s="2">
        <v>77.83</v>
      </c>
      <c r="G248" s="2">
        <v>221.7</v>
      </c>
      <c r="H248">
        <f t="shared" si="3"/>
        <v>788.75</v>
      </c>
    </row>
    <row r="249" spans="1:8" x14ac:dyDescent="0.35">
      <c r="A249" s="1" t="s">
        <v>8</v>
      </c>
      <c r="B249" s="1" t="s">
        <v>75</v>
      </c>
      <c r="C249" s="1" t="s">
        <v>9</v>
      </c>
      <c r="D249" s="1">
        <v>5</v>
      </c>
      <c r="E249" s="2">
        <v>157</v>
      </c>
      <c r="F249" s="2">
        <v>55.87</v>
      </c>
      <c r="G249" s="2">
        <v>323.33</v>
      </c>
      <c r="H249">
        <f t="shared" si="3"/>
        <v>785</v>
      </c>
    </row>
    <row r="250" spans="1:8" x14ac:dyDescent="0.35">
      <c r="A250" s="1" t="s">
        <v>8</v>
      </c>
      <c r="B250" s="1" t="s">
        <v>38</v>
      </c>
      <c r="C250" s="1" t="s">
        <v>9</v>
      </c>
      <c r="D250" s="1">
        <v>27</v>
      </c>
      <c r="E250" s="2">
        <v>153.47</v>
      </c>
      <c r="F250" s="2">
        <v>40.93</v>
      </c>
      <c r="G250" s="2">
        <v>487</v>
      </c>
      <c r="H250">
        <f t="shared" si="3"/>
        <v>4143.6899999999996</v>
      </c>
    </row>
    <row r="251" spans="1:8" x14ac:dyDescent="0.35">
      <c r="A251" s="1" t="s">
        <v>8</v>
      </c>
      <c r="B251" s="1" t="s">
        <v>66</v>
      </c>
      <c r="C251" s="1" t="s">
        <v>9</v>
      </c>
      <c r="D251" s="1">
        <v>10</v>
      </c>
      <c r="E251" s="2">
        <v>148.25</v>
      </c>
      <c r="F251" s="2">
        <v>68.069999999999993</v>
      </c>
      <c r="G251" s="2">
        <v>238</v>
      </c>
      <c r="H251">
        <f t="shared" si="3"/>
        <v>1482.5</v>
      </c>
    </row>
    <row r="252" spans="1:8" x14ac:dyDescent="0.35">
      <c r="A252" s="1" t="s">
        <v>8</v>
      </c>
      <c r="B252" s="1" t="s">
        <v>35</v>
      </c>
      <c r="C252" s="1" t="s">
        <v>9</v>
      </c>
      <c r="D252" s="1">
        <v>4</v>
      </c>
      <c r="E252" s="2">
        <v>144.54</v>
      </c>
      <c r="F252" s="2">
        <v>74.2</v>
      </c>
      <c r="G252" s="2">
        <v>211.12</v>
      </c>
      <c r="H252">
        <f t="shared" si="3"/>
        <v>578.16</v>
      </c>
    </row>
    <row r="253" spans="1:8" x14ac:dyDescent="0.35">
      <c r="A253" s="1" t="s">
        <v>8</v>
      </c>
      <c r="B253" s="1" t="s">
        <v>62</v>
      </c>
      <c r="C253" s="1" t="s">
        <v>9</v>
      </c>
      <c r="D253" s="1">
        <v>26</v>
      </c>
      <c r="E253" s="2">
        <v>139.11000000000001</v>
      </c>
      <c r="F253" s="2">
        <v>54.59</v>
      </c>
      <c r="G253" s="2">
        <v>342.5</v>
      </c>
      <c r="H253">
        <f t="shared" si="3"/>
        <v>3616.8600000000006</v>
      </c>
    </row>
    <row r="254" spans="1:8" x14ac:dyDescent="0.35">
      <c r="A254" s="1" t="s">
        <v>8</v>
      </c>
      <c r="B254" s="1" t="s">
        <v>77</v>
      </c>
      <c r="C254" s="1" t="s">
        <v>9</v>
      </c>
      <c r="D254" s="1">
        <v>3</v>
      </c>
      <c r="E254" s="2">
        <v>134.44</v>
      </c>
      <c r="F254" s="2">
        <v>80.47</v>
      </c>
      <c r="G254" s="2">
        <v>214.41</v>
      </c>
      <c r="H254">
        <f t="shared" si="3"/>
        <v>403.32</v>
      </c>
    </row>
    <row r="255" spans="1:8" x14ac:dyDescent="0.35">
      <c r="A255" s="1" t="s">
        <v>8</v>
      </c>
      <c r="B255" s="1" t="s">
        <v>52</v>
      </c>
      <c r="C255" s="1" t="s">
        <v>9</v>
      </c>
      <c r="D255" s="1">
        <v>19</v>
      </c>
      <c r="E255" s="2">
        <v>132.83000000000001</v>
      </c>
      <c r="F255" s="2">
        <v>45.73</v>
      </c>
      <c r="G255" s="2">
        <v>553.1</v>
      </c>
      <c r="H255">
        <f t="shared" si="3"/>
        <v>2523.7700000000004</v>
      </c>
    </row>
    <row r="256" spans="1:8" x14ac:dyDescent="0.35">
      <c r="A256" s="1" t="s">
        <v>8</v>
      </c>
      <c r="B256" s="1" t="s">
        <v>65</v>
      </c>
      <c r="C256" s="1" t="s">
        <v>9</v>
      </c>
      <c r="D256" s="1">
        <v>1</v>
      </c>
      <c r="E256" s="2">
        <v>128.19999999999999</v>
      </c>
      <c r="F256" s="2">
        <v>128.19999999999999</v>
      </c>
      <c r="G256" s="2">
        <v>128.19999999999999</v>
      </c>
      <c r="H256">
        <f t="shared" si="3"/>
        <v>128.19999999999999</v>
      </c>
    </row>
    <row r="257" spans="1:8" x14ac:dyDescent="0.35">
      <c r="A257" s="1" t="s">
        <v>8</v>
      </c>
      <c r="B257" s="1" t="s">
        <v>30</v>
      </c>
      <c r="C257" s="1" t="s">
        <v>9</v>
      </c>
      <c r="D257" s="1">
        <v>2</v>
      </c>
      <c r="E257" s="2">
        <v>124.75</v>
      </c>
      <c r="F257" s="2">
        <v>110.63</v>
      </c>
      <c r="G257" s="2">
        <v>138.86000000000001</v>
      </c>
      <c r="H257">
        <f t="shared" si="3"/>
        <v>249.5</v>
      </c>
    </row>
    <row r="258" spans="1:8" x14ac:dyDescent="0.35">
      <c r="A258" s="1" t="s">
        <v>8</v>
      </c>
      <c r="B258" s="1" t="s">
        <v>60</v>
      </c>
      <c r="C258" s="1" t="s">
        <v>9</v>
      </c>
      <c r="D258" s="1">
        <v>5</v>
      </c>
      <c r="E258" s="2">
        <v>121.03</v>
      </c>
      <c r="F258" s="2">
        <v>75.400000000000006</v>
      </c>
      <c r="G258" s="2">
        <v>176.99</v>
      </c>
      <c r="H258">
        <f t="shared" si="3"/>
        <v>605.15</v>
      </c>
    </row>
    <row r="259" spans="1:8" x14ac:dyDescent="0.35">
      <c r="A259" s="1" t="s">
        <v>8</v>
      </c>
      <c r="B259" s="1" t="s">
        <v>48</v>
      </c>
      <c r="C259" s="1" t="s">
        <v>9</v>
      </c>
      <c r="D259" s="1">
        <v>10</v>
      </c>
      <c r="E259" s="2">
        <v>113.82</v>
      </c>
      <c r="F259" s="2">
        <v>51.19</v>
      </c>
      <c r="G259" s="2">
        <v>220.93</v>
      </c>
      <c r="H259">
        <f t="shared" si="3"/>
        <v>1138.1999999999998</v>
      </c>
    </row>
    <row r="260" spans="1:8" x14ac:dyDescent="0.35">
      <c r="A260" s="1" t="s">
        <v>8</v>
      </c>
      <c r="B260" s="1" t="s">
        <v>33</v>
      </c>
      <c r="C260" s="1" t="s">
        <v>9</v>
      </c>
      <c r="D260" s="1">
        <v>7</v>
      </c>
      <c r="E260" s="2">
        <v>113.75</v>
      </c>
      <c r="F260" s="2">
        <v>33.229999999999997</v>
      </c>
      <c r="G260" s="2">
        <v>369.86</v>
      </c>
      <c r="H260">
        <f t="shared" ref="H260:H323" si="4">E260*D260</f>
        <v>796.25</v>
      </c>
    </row>
    <row r="261" spans="1:8" x14ac:dyDescent="0.35">
      <c r="A261" s="1" t="s">
        <v>8</v>
      </c>
      <c r="B261" s="1" t="s">
        <v>36</v>
      </c>
      <c r="C261" s="1" t="s">
        <v>9</v>
      </c>
      <c r="D261" s="1">
        <v>10</v>
      </c>
      <c r="E261" s="2">
        <v>110.23</v>
      </c>
      <c r="F261" s="2">
        <v>43.53</v>
      </c>
      <c r="G261" s="2">
        <v>333.4</v>
      </c>
      <c r="H261">
        <f t="shared" si="4"/>
        <v>1102.3</v>
      </c>
    </row>
    <row r="262" spans="1:8" x14ac:dyDescent="0.35">
      <c r="A262" s="1" t="s">
        <v>8</v>
      </c>
      <c r="B262" s="1" t="s">
        <v>42</v>
      </c>
      <c r="C262" s="1" t="s">
        <v>9</v>
      </c>
      <c r="D262" s="1">
        <v>13</v>
      </c>
      <c r="E262" s="2">
        <v>106.77</v>
      </c>
      <c r="F262" s="2">
        <v>46.05</v>
      </c>
      <c r="G262" s="2">
        <v>189</v>
      </c>
      <c r="H262">
        <f t="shared" si="4"/>
        <v>1388.01</v>
      </c>
    </row>
    <row r="263" spans="1:8" x14ac:dyDescent="0.35">
      <c r="A263" s="1" t="s">
        <v>8</v>
      </c>
      <c r="B263" s="1" t="s">
        <v>71</v>
      </c>
      <c r="C263" s="1" t="s">
        <v>9</v>
      </c>
      <c r="D263" s="1">
        <v>6</v>
      </c>
      <c r="E263" s="2">
        <v>102.6</v>
      </c>
      <c r="F263" s="2">
        <v>64.17</v>
      </c>
      <c r="G263" s="2">
        <v>134.03</v>
      </c>
      <c r="H263">
        <f t="shared" si="4"/>
        <v>615.59999999999991</v>
      </c>
    </row>
    <row r="264" spans="1:8" x14ac:dyDescent="0.35">
      <c r="A264" s="1" t="s">
        <v>8</v>
      </c>
      <c r="B264" s="1" t="s">
        <v>50</v>
      </c>
      <c r="C264" s="1" t="s">
        <v>9</v>
      </c>
      <c r="D264" s="1">
        <v>20</v>
      </c>
      <c r="E264" s="2">
        <v>99.98</v>
      </c>
      <c r="F264" s="2">
        <v>41.67</v>
      </c>
      <c r="G264" s="2">
        <v>194</v>
      </c>
      <c r="H264">
        <f t="shared" si="4"/>
        <v>1999.6000000000001</v>
      </c>
    </row>
    <row r="265" spans="1:8" x14ac:dyDescent="0.35">
      <c r="A265" s="1" t="s">
        <v>8</v>
      </c>
      <c r="B265" s="1" t="s">
        <v>32</v>
      </c>
      <c r="C265" s="1" t="s">
        <v>9</v>
      </c>
      <c r="D265" s="1">
        <v>38</v>
      </c>
      <c r="E265" s="2">
        <v>98.28</v>
      </c>
      <c r="F265" s="2">
        <v>44.27</v>
      </c>
      <c r="G265" s="2">
        <v>387.83</v>
      </c>
      <c r="H265">
        <f t="shared" si="4"/>
        <v>3734.64</v>
      </c>
    </row>
    <row r="266" spans="1:8" x14ac:dyDescent="0.35">
      <c r="A266" s="1" t="s">
        <v>8</v>
      </c>
      <c r="B266" s="1" t="s">
        <v>47</v>
      </c>
      <c r="C266" s="1" t="s">
        <v>9</v>
      </c>
      <c r="D266" s="1">
        <v>8</v>
      </c>
      <c r="E266" s="2">
        <v>89.35</v>
      </c>
      <c r="F266" s="2">
        <v>41.67</v>
      </c>
      <c r="G266" s="2">
        <v>167.68</v>
      </c>
      <c r="H266">
        <f t="shared" si="4"/>
        <v>714.8</v>
      </c>
    </row>
    <row r="267" spans="1:8" x14ac:dyDescent="0.35">
      <c r="A267" s="1" t="s">
        <v>8</v>
      </c>
      <c r="B267" s="1" t="s">
        <v>59</v>
      </c>
      <c r="C267" s="1" t="s">
        <v>9</v>
      </c>
      <c r="D267" s="1">
        <v>17</v>
      </c>
      <c r="E267" s="2">
        <v>87.38</v>
      </c>
      <c r="F267" s="2">
        <v>36.93</v>
      </c>
      <c r="G267" s="2">
        <v>291</v>
      </c>
      <c r="H267">
        <f t="shared" si="4"/>
        <v>1485.46</v>
      </c>
    </row>
    <row r="268" spans="1:8" x14ac:dyDescent="0.35">
      <c r="A268" s="1" t="s">
        <v>8</v>
      </c>
      <c r="B268" s="1" t="s">
        <v>58</v>
      </c>
      <c r="C268" s="1" t="s">
        <v>9</v>
      </c>
      <c r="D268" s="1">
        <v>13</v>
      </c>
      <c r="E268" s="2">
        <v>86.51</v>
      </c>
      <c r="F268" s="2">
        <v>41.67</v>
      </c>
      <c r="G268" s="2">
        <v>164.53</v>
      </c>
      <c r="H268">
        <f t="shared" si="4"/>
        <v>1124.6300000000001</v>
      </c>
    </row>
    <row r="269" spans="1:8" x14ac:dyDescent="0.35">
      <c r="A269" s="1" t="s">
        <v>8</v>
      </c>
      <c r="B269" s="1" t="s">
        <v>31</v>
      </c>
      <c r="C269" s="1" t="s">
        <v>9</v>
      </c>
      <c r="D269" s="1">
        <v>11</v>
      </c>
      <c r="E269" s="2">
        <v>85.32</v>
      </c>
      <c r="F269" s="2">
        <v>38.17</v>
      </c>
      <c r="G269" s="2">
        <v>180.9</v>
      </c>
      <c r="H269">
        <f t="shared" si="4"/>
        <v>938.52</v>
      </c>
    </row>
    <row r="270" spans="1:8" x14ac:dyDescent="0.35">
      <c r="A270" s="1" t="s">
        <v>8</v>
      </c>
      <c r="B270" s="1" t="s">
        <v>37</v>
      </c>
      <c r="C270" s="1" t="s">
        <v>9</v>
      </c>
      <c r="D270" s="1">
        <v>26</v>
      </c>
      <c r="E270" s="2">
        <v>84.42</v>
      </c>
      <c r="F270" s="2">
        <v>10</v>
      </c>
      <c r="G270" s="2">
        <v>205.5</v>
      </c>
      <c r="H270">
        <f t="shared" si="4"/>
        <v>2194.92</v>
      </c>
    </row>
    <row r="271" spans="1:8" x14ac:dyDescent="0.35">
      <c r="A271" s="1" t="s">
        <v>8</v>
      </c>
      <c r="B271" s="1" t="s">
        <v>72</v>
      </c>
      <c r="C271" s="1" t="s">
        <v>9</v>
      </c>
      <c r="D271" s="1">
        <v>1</v>
      </c>
      <c r="E271" s="2">
        <v>82.67</v>
      </c>
      <c r="F271" s="2">
        <v>82.67</v>
      </c>
      <c r="G271" s="2">
        <v>82.67</v>
      </c>
      <c r="H271">
        <f t="shared" si="4"/>
        <v>82.67</v>
      </c>
    </row>
    <row r="272" spans="1:8" x14ac:dyDescent="0.35">
      <c r="A272" s="1" t="s">
        <v>8</v>
      </c>
      <c r="B272" s="1" t="s">
        <v>73</v>
      </c>
      <c r="C272" s="1" t="s">
        <v>9</v>
      </c>
      <c r="D272" s="1">
        <v>22</v>
      </c>
      <c r="E272" s="2">
        <v>82.25</v>
      </c>
      <c r="F272" s="2">
        <v>48.7</v>
      </c>
      <c r="G272" s="2">
        <v>125.37</v>
      </c>
      <c r="H272">
        <f t="shared" si="4"/>
        <v>1809.5</v>
      </c>
    </row>
    <row r="273" spans="1:8" x14ac:dyDescent="0.35">
      <c r="A273" s="1" t="s">
        <v>8</v>
      </c>
      <c r="B273" s="1" t="s">
        <v>63</v>
      </c>
      <c r="C273" s="1" t="s">
        <v>9</v>
      </c>
      <c r="D273" s="1">
        <v>9</v>
      </c>
      <c r="E273" s="2">
        <v>81.13</v>
      </c>
      <c r="F273" s="2">
        <v>43.8</v>
      </c>
      <c r="G273" s="2">
        <v>138.27000000000001</v>
      </c>
      <c r="H273">
        <f t="shared" si="4"/>
        <v>730.17</v>
      </c>
    </row>
    <row r="274" spans="1:8" x14ac:dyDescent="0.35">
      <c r="A274" s="1" t="s">
        <v>8</v>
      </c>
      <c r="B274" s="1" t="s">
        <v>45</v>
      </c>
      <c r="C274" s="1" t="s">
        <v>9</v>
      </c>
      <c r="D274" s="1">
        <v>29</v>
      </c>
      <c r="E274" s="2">
        <v>79.430000000000007</v>
      </c>
      <c r="F274" s="2">
        <v>23.73</v>
      </c>
      <c r="G274" s="2">
        <v>193.8</v>
      </c>
      <c r="H274">
        <f t="shared" si="4"/>
        <v>2303.4700000000003</v>
      </c>
    </row>
    <row r="275" spans="1:8" x14ac:dyDescent="0.35">
      <c r="A275" s="1" t="s">
        <v>8</v>
      </c>
      <c r="B275" s="1" t="s">
        <v>74</v>
      </c>
      <c r="C275" s="1" t="s">
        <v>9</v>
      </c>
      <c r="D275" s="1">
        <v>14</v>
      </c>
      <c r="E275" s="2">
        <v>77</v>
      </c>
      <c r="F275" s="2">
        <v>43.51</v>
      </c>
      <c r="G275" s="2">
        <v>264.67</v>
      </c>
      <c r="H275">
        <f t="shared" si="4"/>
        <v>1078</v>
      </c>
    </row>
    <row r="276" spans="1:8" x14ac:dyDescent="0.35">
      <c r="A276" s="1" t="s">
        <v>8</v>
      </c>
      <c r="B276" s="1" t="s">
        <v>54</v>
      </c>
      <c r="C276" s="1" t="s">
        <v>9</v>
      </c>
      <c r="D276" s="1">
        <v>29</v>
      </c>
      <c r="E276" s="2">
        <v>73.760000000000005</v>
      </c>
      <c r="F276" s="2">
        <v>40.270000000000003</v>
      </c>
      <c r="G276" s="2">
        <v>247.8</v>
      </c>
      <c r="H276">
        <f t="shared" si="4"/>
        <v>2139.04</v>
      </c>
    </row>
    <row r="277" spans="1:8" x14ac:dyDescent="0.35">
      <c r="A277" s="1" t="s">
        <v>8</v>
      </c>
      <c r="B277" s="1" t="s">
        <v>61</v>
      </c>
      <c r="C277" s="1" t="s">
        <v>9</v>
      </c>
      <c r="D277" s="1">
        <v>18</v>
      </c>
      <c r="E277" s="2">
        <v>71.88</v>
      </c>
      <c r="F277" s="2">
        <v>13.27</v>
      </c>
      <c r="G277" s="2">
        <v>152.97999999999999</v>
      </c>
      <c r="H277">
        <f t="shared" si="4"/>
        <v>1293.8399999999999</v>
      </c>
    </row>
    <row r="278" spans="1:8" x14ac:dyDescent="0.35">
      <c r="A278" s="1" t="s">
        <v>8</v>
      </c>
      <c r="B278" s="1" t="s">
        <v>57</v>
      </c>
      <c r="C278" s="1" t="s">
        <v>9</v>
      </c>
      <c r="D278" s="1">
        <v>2</v>
      </c>
      <c r="E278" s="2">
        <v>70.42</v>
      </c>
      <c r="F278" s="2">
        <v>69.81</v>
      </c>
      <c r="G278" s="2">
        <v>71.03</v>
      </c>
      <c r="H278">
        <f t="shared" si="4"/>
        <v>140.84</v>
      </c>
    </row>
    <row r="279" spans="1:8" x14ac:dyDescent="0.35">
      <c r="A279" s="1" t="s">
        <v>8</v>
      </c>
      <c r="B279" s="1" t="s">
        <v>70</v>
      </c>
      <c r="C279" s="1" t="s">
        <v>9</v>
      </c>
      <c r="D279" s="1">
        <v>2</v>
      </c>
      <c r="E279" s="2">
        <v>69.25</v>
      </c>
      <c r="F279" s="2">
        <v>48.86</v>
      </c>
      <c r="G279" s="2">
        <v>89.63</v>
      </c>
      <c r="H279">
        <f t="shared" si="4"/>
        <v>138.5</v>
      </c>
    </row>
    <row r="280" spans="1:8" x14ac:dyDescent="0.35">
      <c r="A280" s="1" t="s">
        <v>8</v>
      </c>
      <c r="B280" s="1" t="s">
        <v>53</v>
      </c>
      <c r="C280" s="1" t="s">
        <v>9</v>
      </c>
      <c r="D280" s="1">
        <v>15</v>
      </c>
      <c r="E280" s="2">
        <v>69.08</v>
      </c>
      <c r="F280" s="2">
        <v>29.17</v>
      </c>
      <c r="G280" s="2">
        <v>183</v>
      </c>
      <c r="H280">
        <f t="shared" si="4"/>
        <v>1036.2</v>
      </c>
    </row>
    <row r="281" spans="1:8" x14ac:dyDescent="0.35">
      <c r="A281" s="1" t="s">
        <v>8</v>
      </c>
      <c r="B281" s="1" t="s">
        <v>39</v>
      </c>
      <c r="C281" s="1" t="s">
        <v>9</v>
      </c>
      <c r="D281" s="1">
        <v>17</v>
      </c>
      <c r="E281" s="2">
        <v>62.76</v>
      </c>
      <c r="F281" s="2">
        <v>35.69</v>
      </c>
      <c r="G281" s="2">
        <v>143</v>
      </c>
      <c r="H281">
        <f t="shared" si="4"/>
        <v>1066.92</v>
      </c>
    </row>
    <row r="282" spans="1:8" x14ac:dyDescent="0.35">
      <c r="A282" s="1" t="s">
        <v>8</v>
      </c>
      <c r="B282" s="1" t="s">
        <v>44</v>
      </c>
      <c r="C282" s="1" t="s">
        <v>9</v>
      </c>
      <c r="D282" s="1">
        <v>4</v>
      </c>
      <c r="E282" s="2">
        <v>60.8</v>
      </c>
      <c r="F282" s="2">
        <v>59</v>
      </c>
      <c r="G282" s="2">
        <v>66.069999999999993</v>
      </c>
      <c r="H282">
        <f t="shared" si="4"/>
        <v>243.2</v>
      </c>
    </row>
    <row r="283" spans="1:8" x14ac:dyDescent="0.35">
      <c r="A283" s="1" t="s">
        <v>8</v>
      </c>
      <c r="B283" s="1" t="s">
        <v>68</v>
      </c>
      <c r="C283" s="1" t="s">
        <v>9</v>
      </c>
      <c r="D283" s="1">
        <v>1</v>
      </c>
      <c r="E283" s="2">
        <v>59</v>
      </c>
      <c r="F283" s="2">
        <v>59</v>
      </c>
      <c r="G283" s="2">
        <v>59</v>
      </c>
      <c r="H283">
        <f t="shared" si="4"/>
        <v>59</v>
      </c>
    </row>
    <row r="284" spans="1:8" x14ac:dyDescent="0.35">
      <c r="A284" s="1" t="s">
        <v>8</v>
      </c>
      <c r="B284" s="1" t="s">
        <v>69</v>
      </c>
      <c r="C284" s="1" t="s">
        <v>9</v>
      </c>
      <c r="D284" s="1">
        <v>9</v>
      </c>
      <c r="E284" s="2">
        <v>58.02</v>
      </c>
      <c r="F284" s="2">
        <v>32.94</v>
      </c>
      <c r="G284" s="2">
        <v>94.76</v>
      </c>
      <c r="H284">
        <f t="shared" si="4"/>
        <v>522.18000000000006</v>
      </c>
    </row>
    <row r="285" spans="1:8" x14ac:dyDescent="0.35">
      <c r="A285" s="1" t="s">
        <v>8</v>
      </c>
      <c r="B285" s="1" t="s">
        <v>56</v>
      </c>
      <c r="C285" s="1" t="s">
        <v>9</v>
      </c>
      <c r="D285" s="1">
        <v>10</v>
      </c>
      <c r="E285" s="2">
        <v>57.75</v>
      </c>
      <c r="F285" s="2">
        <v>28.3</v>
      </c>
      <c r="G285" s="2">
        <v>88.49</v>
      </c>
      <c r="H285">
        <f t="shared" si="4"/>
        <v>577.5</v>
      </c>
    </row>
    <row r="286" spans="1:8" x14ac:dyDescent="0.35">
      <c r="A286" s="1" t="s">
        <v>8</v>
      </c>
      <c r="B286" s="1" t="s">
        <v>76</v>
      </c>
      <c r="C286" s="1" t="s">
        <v>9</v>
      </c>
      <c r="D286" s="1">
        <v>3</v>
      </c>
      <c r="E286" s="2">
        <v>52.23</v>
      </c>
      <c r="F286" s="2">
        <v>39.47</v>
      </c>
      <c r="G286" s="2">
        <v>70.7</v>
      </c>
      <c r="H286">
        <f t="shared" si="4"/>
        <v>156.69</v>
      </c>
    </row>
    <row r="287" spans="1:8" x14ac:dyDescent="0.35">
      <c r="A287" s="1" t="s">
        <v>8</v>
      </c>
      <c r="B287" s="1" t="s">
        <v>49</v>
      </c>
      <c r="C287" s="1" t="s">
        <v>9</v>
      </c>
      <c r="D287" s="1">
        <v>2</v>
      </c>
      <c r="E287" s="2">
        <v>40.79</v>
      </c>
      <c r="F287" s="2">
        <v>40.43</v>
      </c>
      <c r="G287" s="2">
        <v>41.15</v>
      </c>
      <c r="H287">
        <f t="shared" si="4"/>
        <v>81.58</v>
      </c>
    </row>
    <row r="288" spans="1:8" x14ac:dyDescent="0.35">
      <c r="A288" s="1" t="s">
        <v>12</v>
      </c>
      <c r="B288" s="1" t="s">
        <v>91</v>
      </c>
      <c r="C288" s="1" t="s">
        <v>9</v>
      </c>
      <c r="D288" s="1">
        <v>2</v>
      </c>
      <c r="E288" s="2">
        <v>439.5</v>
      </c>
      <c r="F288" s="2">
        <v>331</v>
      </c>
      <c r="G288" s="2">
        <v>548</v>
      </c>
      <c r="H288">
        <f t="shared" si="4"/>
        <v>879</v>
      </c>
    </row>
    <row r="289" spans="1:8" x14ac:dyDescent="0.35">
      <c r="A289" s="1" t="s">
        <v>12</v>
      </c>
      <c r="B289" s="1" t="s">
        <v>82</v>
      </c>
      <c r="C289" s="1" t="s">
        <v>9</v>
      </c>
      <c r="D289" s="1">
        <v>4</v>
      </c>
      <c r="E289" s="2">
        <v>337.84</v>
      </c>
      <c r="F289" s="2">
        <v>186.21</v>
      </c>
      <c r="G289" s="2">
        <v>462</v>
      </c>
      <c r="H289">
        <f t="shared" si="4"/>
        <v>1351.36</v>
      </c>
    </row>
    <row r="290" spans="1:8" x14ac:dyDescent="0.35">
      <c r="A290" s="1" t="s">
        <v>12</v>
      </c>
      <c r="B290" s="1" t="s">
        <v>92</v>
      </c>
      <c r="C290" s="1" t="s">
        <v>9</v>
      </c>
      <c r="D290" s="1">
        <v>24</v>
      </c>
      <c r="E290" s="2">
        <v>275.83999999999997</v>
      </c>
      <c r="F290" s="2">
        <v>88.96</v>
      </c>
      <c r="G290" s="2">
        <v>643.05999999999995</v>
      </c>
      <c r="H290">
        <f t="shared" si="4"/>
        <v>6620.16</v>
      </c>
    </row>
    <row r="291" spans="1:8" x14ac:dyDescent="0.35">
      <c r="A291" s="1" t="s">
        <v>12</v>
      </c>
      <c r="B291" s="1" t="s">
        <v>87</v>
      </c>
      <c r="C291" s="1" t="s">
        <v>9</v>
      </c>
      <c r="D291" s="1">
        <v>52</v>
      </c>
      <c r="E291" s="2">
        <v>247.58</v>
      </c>
      <c r="F291" s="2">
        <v>55.41</v>
      </c>
      <c r="G291" s="2">
        <v>770.5</v>
      </c>
      <c r="H291">
        <f t="shared" si="4"/>
        <v>12874.16</v>
      </c>
    </row>
    <row r="292" spans="1:8" x14ac:dyDescent="0.35">
      <c r="A292" s="1" t="s">
        <v>12</v>
      </c>
      <c r="B292" s="1" t="s">
        <v>85</v>
      </c>
      <c r="C292" s="1" t="s">
        <v>9</v>
      </c>
      <c r="D292" s="1">
        <v>14</v>
      </c>
      <c r="E292" s="2">
        <v>246.72</v>
      </c>
      <c r="F292" s="2">
        <v>1</v>
      </c>
      <c r="G292" s="2">
        <v>555</v>
      </c>
      <c r="H292">
        <f t="shared" si="4"/>
        <v>3454.08</v>
      </c>
    </row>
    <row r="293" spans="1:8" x14ac:dyDescent="0.35">
      <c r="A293" s="1" t="s">
        <v>12</v>
      </c>
      <c r="B293" s="1" t="s">
        <v>83</v>
      </c>
      <c r="C293" s="1" t="s">
        <v>9</v>
      </c>
      <c r="D293" s="1">
        <v>64</v>
      </c>
      <c r="E293" s="2">
        <v>238.21</v>
      </c>
      <c r="F293" s="2">
        <v>8</v>
      </c>
      <c r="G293" s="2">
        <v>992</v>
      </c>
      <c r="H293">
        <f t="shared" si="4"/>
        <v>15245.44</v>
      </c>
    </row>
    <row r="294" spans="1:8" x14ac:dyDescent="0.35">
      <c r="A294" s="1" t="s">
        <v>12</v>
      </c>
      <c r="B294" s="1" t="s">
        <v>98</v>
      </c>
      <c r="C294" s="1" t="s">
        <v>9</v>
      </c>
      <c r="D294" s="1">
        <v>20</v>
      </c>
      <c r="E294" s="2">
        <v>236.85</v>
      </c>
      <c r="F294" s="2">
        <v>82.49</v>
      </c>
      <c r="G294" s="2">
        <v>414</v>
      </c>
      <c r="H294">
        <f t="shared" si="4"/>
        <v>4737</v>
      </c>
    </row>
    <row r="295" spans="1:8" x14ac:dyDescent="0.35">
      <c r="A295" s="1" t="s">
        <v>12</v>
      </c>
      <c r="B295" s="1" t="s">
        <v>80</v>
      </c>
      <c r="C295" s="1" t="s">
        <v>9</v>
      </c>
      <c r="D295" s="1">
        <v>26</v>
      </c>
      <c r="E295" s="2">
        <v>235.97</v>
      </c>
      <c r="F295" s="2">
        <v>64.56</v>
      </c>
      <c r="G295" s="2">
        <v>748.51</v>
      </c>
      <c r="H295">
        <f t="shared" si="4"/>
        <v>6135.22</v>
      </c>
    </row>
    <row r="296" spans="1:8" x14ac:dyDescent="0.35">
      <c r="A296" s="1" t="s">
        <v>12</v>
      </c>
      <c r="B296" s="1" t="s">
        <v>118</v>
      </c>
      <c r="C296" s="1" t="s">
        <v>9</v>
      </c>
      <c r="D296" s="1">
        <v>9</v>
      </c>
      <c r="E296" s="2">
        <v>222.46</v>
      </c>
      <c r="F296" s="2">
        <v>44.76</v>
      </c>
      <c r="G296" s="2">
        <v>484.5</v>
      </c>
      <c r="H296">
        <f t="shared" si="4"/>
        <v>2002.14</v>
      </c>
    </row>
    <row r="297" spans="1:8" x14ac:dyDescent="0.35">
      <c r="A297" s="1" t="s">
        <v>12</v>
      </c>
      <c r="B297" s="1" t="s">
        <v>108</v>
      </c>
      <c r="C297" s="1" t="s">
        <v>9</v>
      </c>
      <c r="D297" s="1">
        <v>18</v>
      </c>
      <c r="E297" s="2">
        <v>216.78</v>
      </c>
      <c r="F297" s="2">
        <v>72.7</v>
      </c>
      <c r="G297" s="2">
        <v>929.76</v>
      </c>
      <c r="H297">
        <f t="shared" si="4"/>
        <v>3902.04</v>
      </c>
    </row>
    <row r="298" spans="1:8" x14ac:dyDescent="0.35">
      <c r="A298" s="1" t="s">
        <v>12</v>
      </c>
      <c r="B298" s="1" t="s">
        <v>88</v>
      </c>
      <c r="C298" s="1" t="s">
        <v>9</v>
      </c>
      <c r="D298" s="1">
        <v>28</v>
      </c>
      <c r="E298" s="2">
        <v>199.54</v>
      </c>
      <c r="F298" s="2">
        <v>44.91</v>
      </c>
      <c r="G298" s="2">
        <v>606.77</v>
      </c>
      <c r="H298">
        <f t="shared" si="4"/>
        <v>5587.12</v>
      </c>
    </row>
    <row r="299" spans="1:8" x14ac:dyDescent="0.35">
      <c r="A299" s="1" t="s">
        <v>12</v>
      </c>
      <c r="B299" s="1" t="s">
        <v>104</v>
      </c>
      <c r="C299" s="1" t="s">
        <v>9</v>
      </c>
      <c r="D299" s="1">
        <v>5</v>
      </c>
      <c r="E299" s="2">
        <v>178.55</v>
      </c>
      <c r="F299" s="2">
        <v>110.91</v>
      </c>
      <c r="G299" s="2">
        <v>264.97000000000003</v>
      </c>
      <c r="H299">
        <f t="shared" si="4"/>
        <v>892.75</v>
      </c>
    </row>
    <row r="300" spans="1:8" x14ac:dyDescent="0.35">
      <c r="A300" s="1" t="s">
        <v>12</v>
      </c>
      <c r="B300" s="1" t="s">
        <v>119</v>
      </c>
      <c r="C300" s="1" t="s">
        <v>9</v>
      </c>
      <c r="D300" s="1">
        <v>3</v>
      </c>
      <c r="E300" s="2">
        <v>176.05</v>
      </c>
      <c r="F300" s="2">
        <v>171.33</v>
      </c>
      <c r="G300" s="2">
        <v>178.5</v>
      </c>
      <c r="H300">
        <f t="shared" si="4"/>
        <v>528.15000000000009</v>
      </c>
    </row>
    <row r="301" spans="1:8" x14ac:dyDescent="0.35">
      <c r="A301" s="1" t="s">
        <v>12</v>
      </c>
      <c r="B301" s="1" t="s">
        <v>99</v>
      </c>
      <c r="C301" s="1" t="s">
        <v>9</v>
      </c>
      <c r="D301" s="1">
        <v>42</v>
      </c>
      <c r="E301" s="2">
        <v>171.5</v>
      </c>
      <c r="F301" s="2">
        <v>50.88</v>
      </c>
      <c r="G301" s="2">
        <v>850.25</v>
      </c>
      <c r="H301">
        <f t="shared" si="4"/>
        <v>7203</v>
      </c>
    </row>
    <row r="302" spans="1:8" x14ac:dyDescent="0.35">
      <c r="A302" s="1" t="s">
        <v>12</v>
      </c>
      <c r="B302" s="1" t="s">
        <v>90</v>
      </c>
      <c r="C302" s="1" t="s">
        <v>9</v>
      </c>
      <c r="D302" s="1">
        <v>357</v>
      </c>
      <c r="E302" s="2">
        <v>171.36</v>
      </c>
      <c r="F302" s="2">
        <v>1</v>
      </c>
      <c r="G302" s="2">
        <v>951</v>
      </c>
      <c r="H302">
        <f t="shared" si="4"/>
        <v>61175.520000000004</v>
      </c>
    </row>
    <row r="303" spans="1:8" x14ac:dyDescent="0.35">
      <c r="A303" s="1" t="s">
        <v>12</v>
      </c>
      <c r="B303" s="1" t="s">
        <v>93</v>
      </c>
      <c r="C303" s="1" t="s">
        <v>9</v>
      </c>
      <c r="D303" s="1">
        <v>6</v>
      </c>
      <c r="E303" s="2">
        <v>170.92</v>
      </c>
      <c r="F303" s="2">
        <v>80.2</v>
      </c>
      <c r="G303" s="2">
        <v>270.33</v>
      </c>
      <c r="H303">
        <f t="shared" si="4"/>
        <v>1025.52</v>
      </c>
    </row>
    <row r="304" spans="1:8" x14ac:dyDescent="0.35">
      <c r="A304" s="1" t="s">
        <v>12</v>
      </c>
      <c r="B304" s="1" t="s">
        <v>121</v>
      </c>
      <c r="C304" s="1" t="s">
        <v>9</v>
      </c>
      <c r="D304" s="1">
        <v>44</v>
      </c>
      <c r="E304" s="2">
        <v>169.51</v>
      </c>
      <c r="F304" s="2">
        <v>1</v>
      </c>
      <c r="G304" s="2">
        <v>788</v>
      </c>
      <c r="H304">
        <f t="shared" si="4"/>
        <v>7458.44</v>
      </c>
    </row>
    <row r="305" spans="1:8" x14ac:dyDescent="0.35">
      <c r="A305" s="1" t="s">
        <v>12</v>
      </c>
      <c r="B305" s="1" t="s">
        <v>84</v>
      </c>
      <c r="C305" s="1" t="s">
        <v>9</v>
      </c>
      <c r="D305" s="1">
        <v>4</v>
      </c>
      <c r="E305" s="2">
        <v>165.92</v>
      </c>
      <c r="F305" s="2">
        <v>77.430000000000007</v>
      </c>
      <c r="G305" s="2">
        <v>325.02999999999997</v>
      </c>
      <c r="H305">
        <f t="shared" si="4"/>
        <v>663.68</v>
      </c>
    </row>
    <row r="306" spans="1:8" x14ac:dyDescent="0.35">
      <c r="A306" s="1" t="s">
        <v>12</v>
      </c>
      <c r="B306" s="1" t="s">
        <v>95</v>
      </c>
      <c r="C306" s="1" t="s">
        <v>9</v>
      </c>
      <c r="D306" s="1">
        <v>15</v>
      </c>
      <c r="E306" s="2">
        <v>163.32</v>
      </c>
      <c r="F306" s="2">
        <v>17.7</v>
      </c>
      <c r="G306" s="2">
        <v>531</v>
      </c>
      <c r="H306">
        <f t="shared" si="4"/>
        <v>2449.7999999999997</v>
      </c>
    </row>
    <row r="307" spans="1:8" x14ac:dyDescent="0.35">
      <c r="A307" s="1" t="s">
        <v>12</v>
      </c>
      <c r="B307" s="1" t="s">
        <v>112</v>
      </c>
      <c r="C307" s="1" t="s">
        <v>9</v>
      </c>
      <c r="D307" s="1">
        <v>96</v>
      </c>
      <c r="E307" s="2">
        <v>158.41</v>
      </c>
      <c r="F307" s="2">
        <v>35.950000000000003</v>
      </c>
      <c r="G307" s="2">
        <v>385.15</v>
      </c>
      <c r="H307">
        <f t="shared" si="4"/>
        <v>15207.36</v>
      </c>
    </row>
    <row r="308" spans="1:8" x14ac:dyDescent="0.35">
      <c r="A308" s="1" t="s">
        <v>12</v>
      </c>
      <c r="B308" s="1" t="s">
        <v>96</v>
      </c>
      <c r="C308" s="1" t="s">
        <v>9</v>
      </c>
      <c r="D308" s="1">
        <v>18</v>
      </c>
      <c r="E308" s="2">
        <v>151.99</v>
      </c>
      <c r="F308" s="2">
        <v>46.79</v>
      </c>
      <c r="G308" s="2">
        <v>409</v>
      </c>
      <c r="H308">
        <f t="shared" si="4"/>
        <v>2735.82</v>
      </c>
    </row>
    <row r="309" spans="1:8" x14ac:dyDescent="0.35">
      <c r="A309" s="1" t="s">
        <v>12</v>
      </c>
      <c r="B309" s="1" t="s">
        <v>86</v>
      </c>
      <c r="C309" s="1" t="s">
        <v>9</v>
      </c>
      <c r="D309" s="1">
        <v>2</v>
      </c>
      <c r="E309" s="2">
        <v>150.80000000000001</v>
      </c>
      <c r="F309" s="2">
        <v>84.77</v>
      </c>
      <c r="G309" s="2">
        <v>216.82</v>
      </c>
      <c r="H309">
        <f t="shared" si="4"/>
        <v>301.60000000000002</v>
      </c>
    </row>
    <row r="310" spans="1:8" x14ac:dyDescent="0.35">
      <c r="A310" s="1" t="s">
        <v>12</v>
      </c>
      <c r="B310" s="1" t="s">
        <v>89</v>
      </c>
      <c r="C310" s="1" t="s">
        <v>9</v>
      </c>
      <c r="D310" s="1">
        <v>60</v>
      </c>
      <c r="E310" s="2">
        <v>149.13999999999999</v>
      </c>
      <c r="F310" s="2">
        <v>20.49</v>
      </c>
      <c r="G310" s="2">
        <v>894.57</v>
      </c>
      <c r="H310">
        <f t="shared" si="4"/>
        <v>8948.4</v>
      </c>
    </row>
    <row r="311" spans="1:8" x14ac:dyDescent="0.35">
      <c r="A311" s="1" t="s">
        <v>12</v>
      </c>
      <c r="B311" s="1" t="s">
        <v>113</v>
      </c>
      <c r="C311" s="1" t="s">
        <v>9</v>
      </c>
      <c r="D311" s="1">
        <v>133</v>
      </c>
      <c r="E311" s="2">
        <v>148.09</v>
      </c>
      <c r="F311" s="2">
        <v>35.119999999999997</v>
      </c>
      <c r="G311" s="2">
        <v>718.91</v>
      </c>
      <c r="H311">
        <f t="shared" si="4"/>
        <v>19695.97</v>
      </c>
    </row>
    <row r="312" spans="1:8" x14ac:dyDescent="0.35">
      <c r="A312" s="1" t="s">
        <v>12</v>
      </c>
      <c r="B312" s="1" t="s">
        <v>102</v>
      </c>
      <c r="C312" s="1" t="s">
        <v>9</v>
      </c>
      <c r="D312" s="1">
        <v>12</v>
      </c>
      <c r="E312" s="2">
        <v>139.85</v>
      </c>
      <c r="F312" s="2">
        <v>54.51</v>
      </c>
      <c r="G312" s="2">
        <v>285</v>
      </c>
      <c r="H312">
        <f t="shared" si="4"/>
        <v>1678.1999999999998</v>
      </c>
    </row>
    <row r="313" spans="1:8" x14ac:dyDescent="0.35">
      <c r="A313" s="1" t="s">
        <v>12</v>
      </c>
      <c r="B313" s="1" t="s">
        <v>111</v>
      </c>
      <c r="C313" s="1" t="s">
        <v>9</v>
      </c>
      <c r="D313" s="1">
        <v>125</v>
      </c>
      <c r="E313" s="2">
        <v>138.88</v>
      </c>
      <c r="F313" s="2">
        <v>1</v>
      </c>
      <c r="G313" s="2">
        <v>741</v>
      </c>
      <c r="H313">
        <f t="shared" si="4"/>
        <v>17360</v>
      </c>
    </row>
    <row r="314" spans="1:8" x14ac:dyDescent="0.35">
      <c r="A314" s="1" t="s">
        <v>12</v>
      </c>
      <c r="B314" s="1" t="s">
        <v>126</v>
      </c>
      <c r="C314" s="1" t="s">
        <v>9</v>
      </c>
      <c r="D314" s="1">
        <v>7</v>
      </c>
      <c r="E314" s="2">
        <v>138.78</v>
      </c>
      <c r="F314" s="2">
        <v>62.67</v>
      </c>
      <c r="G314" s="2">
        <v>280.05</v>
      </c>
      <c r="H314">
        <f t="shared" si="4"/>
        <v>971.46</v>
      </c>
    </row>
    <row r="315" spans="1:8" x14ac:dyDescent="0.35">
      <c r="A315" s="1" t="s">
        <v>12</v>
      </c>
      <c r="B315" s="1" t="s">
        <v>114</v>
      </c>
      <c r="C315" s="1" t="s">
        <v>9</v>
      </c>
      <c r="D315" s="1">
        <v>21</v>
      </c>
      <c r="E315" s="2">
        <v>135.55000000000001</v>
      </c>
      <c r="F315" s="2">
        <v>49.8</v>
      </c>
      <c r="G315" s="2">
        <v>553.47</v>
      </c>
      <c r="H315">
        <f t="shared" si="4"/>
        <v>2846.55</v>
      </c>
    </row>
    <row r="316" spans="1:8" x14ac:dyDescent="0.35">
      <c r="A316" s="1" t="s">
        <v>12</v>
      </c>
      <c r="B316" s="1" t="s">
        <v>94</v>
      </c>
      <c r="C316" s="1" t="s">
        <v>9</v>
      </c>
      <c r="D316" s="1">
        <v>277</v>
      </c>
      <c r="E316" s="2">
        <v>132.61000000000001</v>
      </c>
      <c r="F316" s="2">
        <v>5</v>
      </c>
      <c r="G316" s="2">
        <v>742</v>
      </c>
      <c r="H316">
        <f t="shared" si="4"/>
        <v>36732.97</v>
      </c>
    </row>
    <row r="317" spans="1:8" x14ac:dyDescent="0.35">
      <c r="A317" s="1" t="s">
        <v>12</v>
      </c>
      <c r="B317" s="1" t="s">
        <v>103</v>
      </c>
      <c r="C317" s="1" t="s">
        <v>9</v>
      </c>
      <c r="D317" s="1">
        <v>35</v>
      </c>
      <c r="E317" s="2">
        <v>131.44</v>
      </c>
      <c r="F317" s="2">
        <v>40.93</v>
      </c>
      <c r="G317" s="2">
        <v>663.73</v>
      </c>
      <c r="H317">
        <f t="shared" si="4"/>
        <v>4600.3999999999996</v>
      </c>
    </row>
    <row r="318" spans="1:8" x14ac:dyDescent="0.35">
      <c r="A318" s="1" t="s">
        <v>12</v>
      </c>
      <c r="B318" s="1" t="s">
        <v>110</v>
      </c>
      <c r="C318" s="1" t="s">
        <v>9</v>
      </c>
      <c r="D318" s="1">
        <v>82</v>
      </c>
      <c r="E318" s="2">
        <v>128.36000000000001</v>
      </c>
      <c r="F318" s="2">
        <v>51.83</v>
      </c>
      <c r="G318" s="2">
        <v>373.27</v>
      </c>
      <c r="H318">
        <f t="shared" si="4"/>
        <v>10525.52</v>
      </c>
    </row>
    <row r="319" spans="1:8" x14ac:dyDescent="0.35">
      <c r="A319" s="1" t="s">
        <v>12</v>
      </c>
      <c r="B319" s="1" t="s">
        <v>124</v>
      </c>
      <c r="C319" s="1" t="s">
        <v>9</v>
      </c>
      <c r="D319" s="1">
        <v>19</v>
      </c>
      <c r="E319" s="2">
        <v>127.94</v>
      </c>
      <c r="F319" s="2">
        <v>32.26</v>
      </c>
      <c r="G319" s="2">
        <v>368.5</v>
      </c>
      <c r="H319">
        <f t="shared" si="4"/>
        <v>2430.86</v>
      </c>
    </row>
    <row r="320" spans="1:8" x14ac:dyDescent="0.35">
      <c r="A320" s="1" t="s">
        <v>12</v>
      </c>
      <c r="B320" s="1" t="s">
        <v>97</v>
      </c>
      <c r="C320" s="1" t="s">
        <v>9</v>
      </c>
      <c r="D320" s="1">
        <v>105</v>
      </c>
      <c r="E320" s="2">
        <v>125.05</v>
      </c>
      <c r="F320" s="2">
        <v>1</v>
      </c>
      <c r="G320" s="2">
        <v>972.67</v>
      </c>
      <c r="H320">
        <f t="shared" si="4"/>
        <v>13130.25</v>
      </c>
    </row>
    <row r="321" spans="1:8" x14ac:dyDescent="0.35">
      <c r="A321" s="1" t="s">
        <v>12</v>
      </c>
      <c r="B321" s="1" t="s">
        <v>100</v>
      </c>
      <c r="C321" s="1" t="s">
        <v>9</v>
      </c>
      <c r="D321" s="1">
        <v>841</v>
      </c>
      <c r="E321" s="2">
        <v>122</v>
      </c>
      <c r="F321" s="2">
        <v>1</v>
      </c>
      <c r="G321" s="2">
        <v>734</v>
      </c>
      <c r="H321">
        <f t="shared" si="4"/>
        <v>102602</v>
      </c>
    </row>
    <row r="322" spans="1:8" x14ac:dyDescent="0.35">
      <c r="A322" s="1" t="s">
        <v>12</v>
      </c>
      <c r="B322" s="1" t="s">
        <v>115</v>
      </c>
      <c r="C322" s="1" t="s">
        <v>9</v>
      </c>
      <c r="D322" s="1">
        <v>237</v>
      </c>
      <c r="E322" s="2">
        <v>121.11</v>
      </c>
      <c r="F322" s="2">
        <v>1</v>
      </c>
      <c r="G322" s="2">
        <v>695</v>
      </c>
      <c r="H322">
        <f t="shared" si="4"/>
        <v>28703.07</v>
      </c>
    </row>
    <row r="323" spans="1:8" x14ac:dyDescent="0.35">
      <c r="A323" s="1" t="s">
        <v>12</v>
      </c>
      <c r="B323" s="1" t="s">
        <v>106</v>
      </c>
      <c r="C323" s="1" t="s">
        <v>9</v>
      </c>
      <c r="D323" s="1">
        <v>403</v>
      </c>
      <c r="E323" s="2">
        <v>116.28</v>
      </c>
      <c r="F323" s="2">
        <v>1</v>
      </c>
      <c r="G323" s="2">
        <v>997.07</v>
      </c>
      <c r="H323">
        <f t="shared" si="4"/>
        <v>46860.840000000004</v>
      </c>
    </row>
    <row r="324" spans="1:8" x14ac:dyDescent="0.35">
      <c r="A324" s="1" t="s">
        <v>12</v>
      </c>
      <c r="B324" s="1" t="s">
        <v>79</v>
      </c>
      <c r="C324" s="1" t="s">
        <v>9</v>
      </c>
      <c r="D324" s="1">
        <v>3</v>
      </c>
      <c r="E324" s="2">
        <v>110.89</v>
      </c>
      <c r="F324" s="2">
        <v>1</v>
      </c>
      <c r="G324" s="2">
        <v>255.63</v>
      </c>
      <c r="H324">
        <f t="shared" ref="H324:H387" si="5">E324*D324</f>
        <v>332.67</v>
      </c>
    </row>
    <row r="325" spans="1:8" x14ac:dyDescent="0.35">
      <c r="A325" s="1" t="s">
        <v>12</v>
      </c>
      <c r="B325" s="1" t="s">
        <v>107</v>
      </c>
      <c r="C325" s="1" t="s">
        <v>9</v>
      </c>
      <c r="D325" s="1">
        <v>27</v>
      </c>
      <c r="E325" s="2">
        <v>108.97</v>
      </c>
      <c r="F325" s="2">
        <v>44.28</v>
      </c>
      <c r="G325" s="2">
        <v>759</v>
      </c>
      <c r="H325">
        <f t="shared" si="5"/>
        <v>2942.19</v>
      </c>
    </row>
    <row r="326" spans="1:8" x14ac:dyDescent="0.35">
      <c r="A326" s="1" t="s">
        <v>12</v>
      </c>
      <c r="B326" s="1" t="s">
        <v>117</v>
      </c>
      <c r="C326" s="1" t="s">
        <v>9</v>
      </c>
      <c r="D326" s="1">
        <v>25</v>
      </c>
      <c r="E326" s="2">
        <v>107.1</v>
      </c>
      <c r="F326" s="2">
        <v>47.71</v>
      </c>
      <c r="G326" s="2">
        <v>409</v>
      </c>
      <c r="H326">
        <f t="shared" si="5"/>
        <v>2677.5</v>
      </c>
    </row>
    <row r="327" spans="1:8" x14ac:dyDescent="0.35">
      <c r="A327" s="1" t="s">
        <v>12</v>
      </c>
      <c r="B327" s="1" t="s">
        <v>120</v>
      </c>
      <c r="C327" s="1" t="s">
        <v>9</v>
      </c>
      <c r="D327" s="1">
        <v>14</v>
      </c>
      <c r="E327" s="2">
        <v>104.88</v>
      </c>
      <c r="F327" s="2">
        <v>49.11</v>
      </c>
      <c r="G327" s="2">
        <v>257</v>
      </c>
      <c r="H327">
        <f t="shared" si="5"/>
        <v>1468.32</v>
      </c>
    </row>
    <row r="328" spans="1:8" x14ac:dyDescent="0.35">
      <c r="A328" s="1" t="s">
        <v>12</v>
      </c>
      <c r="B328" s="1" t="s">
        <v>109</v>
      </c>
      <c r="C328" s="1" t="s">
        <v>9</v>
      </c>
      <c r="D328" s="1">
        <v>49</v>
      </c>
      <c r="E328" s="2">
        <v>104.18</v>
      </c>
      <c r="F328" s="2">
        <v>23.51</v>
      </c>
      <c r="G328" s="2">
        <v>305.13</v>
      </c>
      <c r="H328">
        <f t="shared" si="5"/>
        <v>5104.8200000000006</v>
      </c>
    </row>
    <row r="329" spans="1:8" x14ac:dyDescent="0.35">
      <c r="A329" s="1" t="s">
        <v>12</v>
      </c>
      <c r="B329" s="1" t="s">
        <v>123</v>
      </c>
      <c r="C329" s="1" t="s">
        <v>9</v>
      </c>
      <c r="D329" s="1">
        <v>3</v>
      </c>
      <c r="E329" s="2">
        <v>103.67</v>
      </c>
      <c r="F329" s="2">
        <v>55.98</v>
      </c>
      <c r="G329" s="2">
        <v>186</v>
      </c>
      <c r="H329">
        <f t="shared" si="5"/>
        <v>311.01</v>
      </c>
    </row>
    <row r="330" spans="1:8" x14ac:dyDescent="0.35">
      <c r="A330" s="1" t="s">
        <v>12</v>
      </c>
      <c r="B330" s="1" t="s">
        <v>122</v>
      </c>
      <c r="C330" s="1" t="s">
        <v>9</v>
      </c>
      <c r="D330" s="1">
        <v>52</v>
      </c>
      <c r="E330" s="2">
        <v>93.01</v>
      </c>
      <c r="F330" s="2">
        <v>1</v>
      </c>
      <c r="G330" s="2">
        <v>499.5</v>
      </c>
      <c r="H330">
        <f t="shared" si="5"/>
        <v>4836.5200000000004</v>
      </c>
    </row>
    <row r="331" spans="1:8" x14ac:dyDescent="0.35">
      <c r="A331" s="1" t="s">
        <v>12</v>
      </c>
      <c r="B331" s="1" t="s">
        <v>116</v>
      </c>
      <c r="C331" s="1" t="s">
        <v>9</v>
      </c>
      <c r="D331" s="1">
        <v>21</v>
      </c>
      <c r="E331" s="2">
        <v>92.54</v>
      </c>
      <c r="F331" s="2">
        <v>39.83</v>
      </c>
      <c r="G331" s="2">
        <v>263.43</v>
      </c>
      <c r="H331">
        <f t="shared" si="5"/>
        <v>1943.3400000000001</v>
      </c>
    </row>
    <row r="332" spans="1:8" x14ac:dyDescent="0.35">
      <c r="A332" s="1" t="s">
        <v>12</v>
      </c>
      <c r="B332" s="1" t="s">
        <v>81</v>
      </c>
      <c r="C332" s="1" t="s">
        <v>9</v>
      </c>
      <c r="D332" s="1">
        <v>5</v>
      </c>
      <c r="E332" s="2">
        <v>88.9</v>
      </c>
      <c r="F332" s="2">
        <v>25.19</v>
      </c>
      <c r="G332" s="2">
        <v>318</v>
      </c>
      <c r="H332">
        <f t="shared" si="5"/>
        <v>444.5</v>
      </c>
    </row>
    <row r="333" spans="1:8" x14ac:dyDescent="0.35">
      <c r="A333" s="1" t="s">
        <v>12</v>
      </c>
      <c r="B333" s="1" t="s">
        <v>101</v>
      </c>
      <c r="C333" s="1" t="s">
        <v>9</v>
      </c>
      <c r="D333" s="1">
        <v>97</v>
      </c>
      <c r="E333" s="2">
        <v>87.18</v>
      </c>
      <c r="F333" s="2">
        <v>16.96</v>
      </c>
      <c r="G333" s="2">
        <v>683.15</v>
      </c>
      <c r="H333">
        <f t="shared" si="5"/>
        <v>8456.4600000000009</v>
      </c>
    </row>
    <row r="334" spans="1:8" x14ac:dyDescent="0.35">
      <c r="A334" s="1" t="s">
        <v>12</v>
      </c>
      <c r="B334" s="1" t="s">
        <v>105</v>
      </c>
      <c r="C334" s="1" t="s">
        <v>9</v>
      </c>
      <c r="D334" s="1">
        <v>13</v>
      </c>
      <c r="E334" s="2">
        <v>86.47</v>
      </c>
      <c r="F334" s="2">
        <v>49.05</v>
      </c>
      <c r="G334" s="2">
        <v>354</v>
      </c>
      <c r="H334">
        <f t="shared" si="5"/>
        <v>1124.1099999999999</v>
      </c>
    </row>
    <row r="335" spans="1:8" x14ac:dyDescent="0.35">
      <c r="A335" s="1" t="s">
        <v>12</v>
      </c>
      <c r="B335" s="1" t="s">
        <v>125</v>
      </c>
      <c r="C335" s="1" t="s">
        <v>9</v>
      </c>
      <c r="D335" s="1">
        <v>1</v>
      </c>
      <c r="E335" s="2">
        <v>83.9</v>
      </c>
      <c r="F335" s="2">
        <v>83.9</v>
      </c>
      <c r="G335" s="2">
        <v>83.9</v>
      </c>
      <c r="H335">
        <f t="shared" si="5"/>
        <v>83.9</v>
      </c>
    </row>
    <row r="336" spans="1:8" x14ac:dyDescent="0.35">
      <c r="A336" s="1" t="s">
        <v>14</v>
      </c>
      <c r="B336" s="1" t="s">
        <v>131</v>
      </c>
      <c r="C336" s="1" t="s">
        <v>9</v>
      </c>
      <c r="D336" s="1">
        <v>40</v>
      </c>
      <c r="E336" s="2">
        <v>401.56</v>
      </c>
      <c r="F336" s="2">
        <v>1</v>
      </c>
      <c r="G336" s="2">
        <v>922</v>
      </c>
      <c r="H336">
        <f t="shared" si="5"/>
        <v>16062.4</v>
      </c>
    </row>
    <row r="337" spans="1:8" x14ac:dyDescent="0.35">
      <c r="A337" s="1" t="s">
        <v>14</v>
      </c>
      <c r="B337" s="1" t="s">
        <v>135</v>
      </c>
      <c r="C337" s="1" t="s">
        <v>9</v>
      </c>
      <c r="D337" s="1">
        <v>19</v>
      </c>
      <c r="E337" s="2">
        <v>359.96</v>
      </c>
      <c r="F337" s="2">
        <v>1</v>
      </c>
      <c r="G337" s="2">
        <v>619</v>
      </c>
      <c r="H337">
        <f t="shared" si="5"/>
        <v>6839.24</v>
      </c>
    </row>
    <row r="338" spans="1:8" x14ac:dyDescent="0.35">
      <c r="A338" s="1" t="s">
        <v>14</v>
      </c>
      <c r="B338" s="1" t="s">
        <v>129</v>
      </c>
      <c r="C338" s="1" t="s">
        <v>9</v>
      </c>
      <c r="D338" s="1">
        <v>151</v>
      </c>
      <c r="E338" s="2">
        <v>354.76</v>
      </c>
      <c r="F338" s="2">
        <v>1</v>
      </c>
      <c r="G338" s="2">
        <v>970.2</v>
      </c>
      <c r="H338">
        <f t="shared" si="5"/>
        <v>53568.76</v>
      </c>
    </row>
    <row r="339" spans="1:8" x14ac:dyDescent="0.35">
      <c r="A339" s="1" t="s">
        <v>14</v>
      </c>
      <c r="B339" s="1" t="s">
        <v>133</v>
      </c>
      <c r="C339" s="1" t="s">
        <v>9</v>
      </c>
      <c r="D339" s="1">
        <v>11</v>
      </c>
      <c r="E339" s="2">
        <v>354.3</v>
      </c>
      <c r="F339" s="2">
        <v>28.14</v>
      </c>
      <c r="G339" s="2">
        <v>589</v>
      </c>
      <c r="H339">
        <f t="shared" si="5"/>
        <v>3897.3</v>
      </c>
    </row>
    <row r="340" spans="1:8" x14ac:dyDescent="0.35">
      <c r="A340" s="1" t="s">
        <v>14</v>
      </c>
      <c r="B340" s="1" t="s">
        <v>132</v>
      </c>
      <c r="C340" s="1" t="s">
        <v>9</v>
      </c>
      <c r="D340" s="1">
        <v>435</v>
      </c>
      <c r="E340" s="2">
        <v>347.11</v>
      </c>
      <c r="F340" s="2">
        <v>1</v>
      </c>
      <c r="G340" s="2">
        <v>976</v>
      </c>
      <c r="H340">
        <f t="shared" si="5"/>
        <v>150992.85</v>
      </c>
    </row>
    <row r="341" spans="1:8" x14ac:dyDescent="0.35">
      <c r="A341" s="1" t="s">
        <v>14</v>
      </c>
      <c r="B341" s="1" t="s">
        <v>130</v>
      </c>
      <c r="C341" s="1" t="s">
        <v>9</v>
      </c>
      <c r="D341" s="1">
        <v>100</v>
      </c>
      <c r="E341" s="2">
        <v>300.06</v>
      </c>
      <c r="F341" s="2">
        <v>1</v>
      </c>
      <c r="G341" s="2">
        <v>911.5</v>
      </c>
      <c r="H341">
        <f t="shared" si="5"/>
        <v>30006</v>
      </c>
    </row>
    <row r="342" spans="1:8" x14ac:dyDescent="0.35">
      <c r="A342" s="1" t="s">
        <v>14</v>
      </c>
      <c r="B342" s="1" t="s">
        <v>127</v>
      </c>
      <c r="C342" s="1" t="s">
        <v>9</v>
      </c>
      <c r="D342" s="1">
        <v>3</v>
      </c>
      <c r="E342" s="2">
        <v>285.5</v>
      </c>
      <c r="F342" s="2">
        <v>251.5</v>
      </c>
      <c r="G342" s="2">
        <v>325.5</v>
      </c>
      <c r="H342">
        <f t="shared" si="5"/>
        <v>856.5</v>
      </c>
    </row>
    <row r="343" spans="1:8" x14ac:dyDescent="0.35">
      <c r="A343" s="1" t="s">
        <v>14</v>
      </c>
      <c r="B343" s="1" t="s">
        <v>150</v>
      </c>
      <c r="C343" s="1" t="s">
        <v>9</v>
      </c>
      <c r="D343" s="1">
        <v>20</v>
      </c>
      <c r="E343" s="2">
        <v>280.33</v>
      </c>
      <c r="F343" s="2">
        <v>1</v>
      </c>
      <c r="G343" s="2">
        <v>551</v>
      </c>
      <c r="H343">
        <f t="shared" si="5"/>
        <v>5606.5999999999995</v>
      </c>
    </row>
    <row r="344" spans="1:8" x14ac:dyDescent="0.35">
      <c r="A344" s="1" t="s">
        <v>14</v>
      </c>
      <c r="B344" s="1" t="s">
        <v>138</v>
      </c>
      <c r="C344" s="1" t="s">
        <v>9</v>
      </c>
      <c r="D344" s="1">
        <v>60</v>
      </c>
      <c r="E344" s="2">
        <v>263.19</v>
      </c>
      <c r="F344" s="2">
        <v>1</v>
      </c>
      <c r="G344" s="2">
        <v>752.13</v>
      </c>
      <c r="H344">
        <f t="shared" si="5"/>
        <v>15791.4</v>
      </c>
    </row>
    <row r="345" spans="1:8" x14ac:dyDescent="0.35">
      <c r="A345" s="1" t="s">
        <v>14</v>
      </c>
      <c r="B345" s="1" t="s">
        <v>148</v>
      </c>
      <c r="C345" s="1" t="s">
        <v>9</v>
      </c>
      <c r="D345" s="1">
        <v>24</v>
      </c>
      <c r="E345" s="2">
        <v>256.58</v>
      </c>
      <c r="F345" s="2">
        <v>2</v>
      </c>
      <c r="G345" s="2">
        <v>699</v>
      </c>
      <c r="H345">
        <f t="shared" si="5"/>
        <v>6157.92</v>
      </c>
    </row>
    <row r="346" spans="1:8" x14ac:dyDescent="0.35">
      <c r="A346" s="1" t="s">
        <v>14</v>
      </c>
      <c r="B346" s="1" t="s">
        <v>134</v>
      </c>
      <c r="C346" s="1" t="s">
        <v>9</v>
      </c>
      <c r="D346" s="1">
        <v>16</v>
      </c>
      <c r="E346" s="2">
        <v>247.19</v>
      </c>
      <c r="F346" s="2">
        <v>2</v>
      </c>
      <c r="G346" s="2">
        <v>689.33</v>
      </c>
      <c r="H346">
        <f t="shared" si="5"/>
        <v>3955.04</v>
      </c>
    </row>
    <row r="347" spans="1:8" x14ac:dyDescent="0.35">
      <c r="A347" s="1" t="s">
        <v>14</v>
      </c>
      <c r="B347" s="1" t="s">
        <v>139</v>
      </c>
      <c r="C347" s="1" t="s">
        <v>9</v>
      </c>
      <c r="D347" s="1">
        <v>9</v>
      </c>
      <c r="E347" s="2">
        <v>243.68</v>
      </c>
      <c r="F347" s="2">
        <v>17.510000000000002</v>
      </c>
      <c r="G347" s="2">
        <v>408</v>
      </c>
      <c r="H347">
        <f t="shared" si="5"/>
        <v>2193.12</v>
      </c>
    </row>
    <row r="348" spans="1:8" x14ac:dyDescent="0.35">
      <c r="A348" s="1" t="s">
        <v>14</v>
      </c>
      <c r="B348" s="1" t="s">
        <v>136</v>
      </c>
      <c r="C348" s="1" t="s">
        <v>9</v>
      </c>
      <c r="D348" s="1">
        <v>6</v>
      </c>
      <c r="E348" s="2">
        <v>239.99</v>
      </c>
      <c r="F348" s="2">
        <v>54.4</v>
      </c>
      <c r="G348" s="2">
        <v>932.93</v>
      </c>
      <c r="H348">
        <f t="shared" si="5"/>
        <v>1439.94</v>
      </c>
    </row>
    <row r="349" spans="1:8" x14ac:dyDescent="0.35">
      <c r="A349" s="1" t="s">
        <v>14</v>
      </c>
      <c r="B349" s="1" t="s">
        <v>140</v>
      </c>
      <c r="C349" s="1" t="s">
        <v>9</v>
      </c>
      <c r="D349" s="1">
        <v>134</v>
      </c>
      <c r="E349" s="2">
        <v>234.26</v>
      </c>
      <c r="F349" s="2">
        <v>2</v>
      </c>
      <c r="G349" s="2">
        <v>983.33</v>
      </c>
      <c r="H349">
        <f t="shared" si="5"/>
        <v>31390.84</v>
      </c>
    </row>
    <row r="350" spans="1:8" x14ac:dyDescent="0.35">
      <c r="A350" s="1" t="s">
        <v>14</v>
      </c>
      <c r="B350" s="1" t="s">
        <v>142</v>
      </c>
      <c r="C350" s="1" t="s">
        <v>9</v>
      </c>
      <c r="D350" s="1">
        <v>255</v>
      </c>
      <c r="E350" s="2">
        <v>233.8</v>
      </c>
      <c r="F350" s="2">
        <v>1</v>
      </c>
      <c r="G350" s="2">
        <v>965</v>
      </c>
      <c r="H350">
        <f t="shared" si="5"/>
        <v>59619</v>
      </c>
    </row>
    <row r="351" spans="1:8" x14ac:dyDescent="0.35">
      <c r="A351" s="1" t="s">
        <v>14</v>
      </c>
      <c r="B351" s="1" t="s">
        <v>141</v>
      </c>
      <c r="C351" s="1" t="s">
        <v>9</v>
      </c>
      <c r="D351" s="1">
        <v>80</v>
      </c>
      <c r="E351" s="2">
        <v>224.95</v>
      </c>
      <c r="F351" s="2">
        <v>9</v>
      </c>
      <c r="G351" s="2">
        <v>799.03</v>
      </c>
      <c r="H351">
        <f t="shared" si="5"/>
        <v>17996</v>
      </c>
    </row>
    <row r="352" spans="1:8" x14ac:dyDescent="0.35">
      <c r="A352" s="1" t="s">
        <v>14</v>
      </c>
      <c r="B352" s="1" t="s">
        <v>149</v>
      </c>
      <c r="C352" s="1" t="s">
        <v>9</v>
      </c>
      <c r="D352" s="1">
        <v>26</v>
      </c>
      <c r="E352" s="2">
        <v>215.71</v>
      </c>
      <c r="F352" s="2">
        <v>1</v>
      </c>
      <c r="G352" s="2">
        <v>448</v>
      </c>
      <c r="H352">
        <f t="shared" si="5"/>
        <v>5608.46</v>
      </c>
    </row>
    <row r="353" spans="1:8" x14ac:dyDescent="0.35">
      <c r="A353" s="1" t="s">
        <v>14</v>
      </c>
      <c r="B353" s="1" t="s">
        <v>137</v>
      </c>
      <c r="C353" s="1" t="s">
        <v>9</v>
      </c>
      <c r="D353" s="1">
        <v>77</v>
      </c>
      <c r="E353" s="2">
        <v>202.68</v>
      </c>
      <c r="F353" s="2">
        <v>3</v>
      </c>
      <c r="G353" s="2">
        <v>769</v>
      </c>
      <c r="H353">
        <f t="shared" si="5"/>
        <v>15606.36</v>
      </c>
    </row>
    <row r="354" spans="1:8" x14ac:dyDescent="0.35">
      <c r="A354" s="1" t="s">
        <v>14</v>
      </c>
      <c r="B354" s="1" t="s">
        <v>144</v>
      </c>
      <c r="C354" s="1" t="s">
        <v>9</v>
      </c>
      <c r="D354" s="1">
        <v>100</v>
      </c>
      <c r="E354" s="2">
        <v>179.51</v>
      </c>
      <c r="F354" s="2">
        <v>1</v>
      </c>
      <c r="G354" s="2">
        <v>859.36</v>
      </c>
      <c r="H354">
        <f t="shared" si="5"/>
        <v>17951</v>
      </c>
    </row>
    <row r="355" spans="1:8" x14ac:dyDescent="0.35">
      <c r="A355" s="1" t="s">
        <v>14</v>
      </c>
      <c r="B355" s="1" t="s">
        <v>146</v>
      </c>
      <c r="C355" s="1" t="s">
        <v>9</v>
      </c>
      <c r="D355" s="1">
        <v>83</v>
      </c>
      <c r="E355" s="2">
        <v>169.51</v>
      </c>
      <c r="F355" s="2">
        <v>1</v>
      </c>
      <c r="G355" s="2">
        <v>999</v>
      </c>
      <c r="H355">
        <f t="shared" si="5"/>
        <v>14069.33</v>
      </c>
    </row>
    <row r="356" spans="1:8" x14ac:dyDescent="0.35">
      <c r="A356" s="1" t="s">
        <v>14</v>
      </c>
      <c r="B356" s="1" t="s">
        <v>151</v>
      </c>
      <c r="C356" s="1" t="s">
        <v>9</v>
      </c>
      <c r="D356" s="1">
        <v>262</v>
      </c>
      <c r="E356" s="2">
        <v>168.26</v>
      </c>
      <c r="F356" s="2">
        <v>1</v>
      </c>
      <c r="G356" s="2">
        <v>855</v>
      </c>
      <c r="H356">
        <f t="shared" si="5"/>
        <v>44084.119999999995</v>
      </c>
    </row>
    <row r="357" spans="1:8" x14ac:dyDescent="0.35">
      <c r="A357" s="1" t="s">
        <v>14</v>
      </c>
      <c r="B357" s="1" t="s">
        <v>143</v>
      </c>
      <c r="C357" s="1" t="s">
        <v>9</v>
      </c>
      <c r="D357" s="1">
        <v>35</v>
      </c>
      <c r="E357" s="2">
        <v>158.61000000000001</v>
      </c>
      <c r="F357" s="2">
        <v>1</v>
      </c>
      <c r="G357" s="2">
        <v>856</v>
      </c>
      <c r="H357">
        <f t="shared" si="5"/>
        <v>5551.35</v>
      </c>
    </row>
    <row r="358" spans="1:8" x14ac:dyDescent="0.35">
      <c r="A358" s="1" t="s">
        <v>14</v>
      </c>
      <c r="B358" s="1" t="s">
        <v>158</v>
      </c>
      <c r="C358" s="1" t="s">
        <v>9</v>
      </c>
      <c r="D358" s="1">
        <v>11</v>
      </c>
      <c r="E358" s="2">
        <v>141.97999999999999</v>
      </c>
      <c r="F358" s="2">
        <v>69.25</v>
      </c>
      <c r="G358" s="2">
        <v>281.02999999999997</v>
      </c>
      <c r="H358">
        <f t="shared" si="5"/>
        <v>1561.78</v>
      </c>
    </row>
    <row r="359" spans="1:8" x14ac:dyDescent="0.35">
      <c r="A359" s="1" t="s">
        <v>14</v>
      </c>
      <c r="B359" s="1" t="s">
        <v>153</v>
      </c>
      <c r="C359" s="1" t="s">
        <v>9</v>
      </c>
      <c r="D359" s="1">
        <v>6</v>
      </c>
      <c r="E359" s="2">
        <v>133.97</v>
      </c>
      <c r="F359" s="2">
        <v>48.17</v>
      </c>
      <c r="G359" s="2">
        <v>284</v>
      </c>
      <c r="H359">
        <f t="shared" si="5"/>
        <v>803.81999999999994</v>
      </c>
    </row>
    <row r="360" spans="1:8" x14ac:dyDescent="0.35">
      <c r="A360" s="1" t="s">
        <v>14</v>
      </c>
      <c r="B360" s="1" t="s">
        <v>155</v>
      </c>
      <c r="C360" s="1" t="s">
        <v>9</v>
      </c>
      <c r="D360" s="1">
        <v>175</v>
      </c>
      <c r="E360" s="2">
        <v>127.93</v>
      </c>
      <c r="F360" s="2">
        <v>12.02</v>
      </c>
      <c r="G360" s="2">
        <v>719.03</v>
      </c>
      <c r="H360">
        <f t="shared" si="5"/>
        <v>22387.75</v>
      </c>
    </row>
    <row r="361" spans="1:8" x14ac:dyDescent="0.35">
      <c r="A361" s="1" t="s">
        <v>14</v>
      </c>
      <c r="B361" s="1" t="s">
        <v>147</v>
      </c>
      <c r="C361" s="1" t="s">
        <v>9</v>
      </c>
      <c r="D361" s="1">
        <v>1</v>
      </c>
      <c r="E361" s="2">
        <v>122.8</v>
      </c>
      <c r="F361" s="2">
        <v>122.8</v>
      </c>
      <c r="G361" s="2">
        <v>122.8</v>
      </c>
      <c r="H361">
        <f t="shared" si="5"/>
        <v>122.8</v>
      </c>
    </row>
    <row r="362" spans="1:8" x14ac:dyDescent="0.35">
      <c r="A362" s="1" t="s">
        <v>14</v>
      </c>
      <c r="B362" s="1" t="s">
        <v>154</v>
      </c>
      <c r="C362" s="1" t="s">
        <v>9</v>
      </c>
      <c r="D362" s="1">
        <v>618</v>
      </c>
      <c r="E362" s="2">
        <v>119.72</v>
      </c>
      <c r="F362" s="2">
        <v>1</v>
      </c>
      <c r="G362" s="2">
        <v>993</v>
      </c>
      <c r="H362">
        <f t="shared" si="5"/>
        <v>73986.960000000006</v>
      </c>
    </row>
    <row r="363" spans="1:8" x14ac:dyDescent="0.35">
      <c r="A363" s="1" t="s">
        <v>14</v>
      </c>
      <c r="B363" s="1" t="s">
        <v>152</v>
      </c>
      <c r="C363" s="1" t="s">
        <v>9</v>
      </c>
      <c r="D363" s="1">
        <v>31</v>
      </c>
      <c r="E363" s="2">
        <v>98.06</v>
      </c>
      <c r="F363" s="2">
        <v>1</v>
      </c>
      <c r="G363" s="2">
        <v>262</v>
      </c>
      <c r="H363">
        <f t="shared" si="5"/>
        <v>3039.86</v>
      </c>
    </row>
    <row r="364" spans="1:8" x14ac:dyDescent="0.35">
      <c r="A364" s="1" t="s">
        <v>14</v>
      </c>
      <c r="B364" s="1" t="s">
        <v>156</v>
      </c>
      <c r="C364" s="1" t="s">
        <v>9</v>
      </c>
      <c r="D364" s="1">
        <v>170</v>
      </c>
      <c r="E364" s="2">
        <v>85.23</v>
      </c>
      <c r="F364" s="2">
        <v>40.04</v>
      </c>
      <c r="G364" s="2">
        <v>299.60000000000002</v>
      </c>
      <c r="H364">
        <f t="shared" si="5"/>
        <v>14489.1</v>
      </c>
    </row>
    <row r="365" spans="1:8" x14ac:dyDescent="0.35">
      <c r="A365" s="1" t="s">
        <v>14</v>
      </c>
      <c r="B365" s="1" t="s">
        <v>145</v>
      </c>
      <c r="C365" s="1" t="s">
        <v>9</v>
      </c>
      <c r="D365" s="1">
        <v>3</v>
      </c>
      <c r="E365" s="2">
        <v>77.64</v>
      </c>
      <c r="F365" s="2">
        <v>36.21</v>
      </c>
      <c r="G365" s="2">
        <v>141.38</v>
      </c>
      <c r="H365">
        <f t="shared" si="5"/>
        <v>232.92000000000002</v>
      </c>
    </row>
    <row r="366" spans="1:8" x14ac:dyDescent="0.35">
      <c r="A366" s="1" t="s">
        <v>14</v>
      </c>
      <c r="B366" s="1" t="s">
        <v>157</v>
      </c>
      <c r="C366" s="1" t="s">
        <v>9</v>
      </c>
      <c r="D366" s="1">
        <v>43</v>
      </c>
      <c r="E366" s="2">
        <v>62.33</v>
      </c>
      <c r="F366" s="2">
        <v>37.630000000000003</v>
      </c>
      <c r="G366" s="2">
        <v>278.39999999999998</v>
      </c>
      <c r="H366">
        <f t="shared" si="5"/>
        <v>2680.19</v>
      </c>
    </row>
    <row r="367" spans="1:8" x14ac:dyDescent="0.35">
      <c r="A367" s="1" t="s">
        <v>15</v>
      </c>
      <c r="B367" s="1" t="s">
        <v>188</v>
      </c>
      <c r="C367" s="1" t="s">
        <v>9</v>
      </c>
      <c r="D367" s="1">
        <v>4</v>
      </c>
      <c r="E367" s="2">
        <v>331.72</v>
      </c>
      <c r="F367" s="2">
        <v>92.86</v>
      </c>
      <c r="G367" s="2">
        <v>798</v>
      </c>
      <c r="H367">
        <f t="shared" si="5"/>
        <v>1326.88</v>
      </c>
    </row>
    <row r="368" spans="1:8" x14ac:dyDescent="0.35">
      <c r="A368" s="1" t="s">
        <v>15</v>
      </c>
      <c r="B368" s="1" t="s">
        <v>183</v>
      </c>
      <c r="C368" s="1" t="s">
        <v>9</v>
      </c>
      <c r="D368" s="1">
        <v>36</v>
      </c>
      <c r="E368" s="2">
        <v>238.68</v>
      </c>
      <c r="F368" s="2">
        <v>35.4</v>
      </c>
      <c r="G368" s="2">
        <v>584.28</v>
      </c>
      <c r="H368">
        <f t="shared" si="5"/>
        <v>8592.48</v>
      </c>
    </row>
    <row r="369" spans="1:8" x14ac:dyDescent="0.35">
      <c r="A369" s="1" t="s">
        <v>15</v>
      </c>
      <c r="B369" s="1" t="s">
        <v>159</v>
      </c>
      <c r="C369" s="1" t="s">
        <v>9</v>
      </c>
      <c r="D369" s="1">
        <v>1</v>
      </c>
      <c r="E369" s="2">
        <v>217.3</v>
      </c>
      <c r="F369" s="2">
        <v>217.3</v>
      </c>
      <c r="G369" s="2">
        <v>217.3</v>
      </c>
      <c r="H369">
        <f t="shared" si="5"/>
        <v>217.3</v>
      </c>
    </row>
    <row r="370" spans="1:8" x14ac:dyDescent="0.35">
      <c r="A370" s="1" t="s">
        <v>15</v>
      </c>
      <c r="B370" s="1" t="s">
        <v>206</v>
      </c>
      <c r="C370" s="1" t="s">
        <v>9</v>
      </c>
      <c r="D370" s="1">
        <v>2</v>
      </c>
      <c r="E370" s="2">
        <v>193.04</v>
      </c>
      <c r="F370" s="2">
        <v>68.069999999999993</v>
      </c>
      <c r="G370" s="2">
        <v>318</v>
      </c>
      <c r="H370">
        <f t="shared" si="5"/>
        <v>386.08</v>
      </c>
    </row>
    <row r="371" spans="1:8" x14ac:dyDescent="0.35">
      <c r="A371" s="1" t="s">
        <v>15</v>
      </c>
      <c r="B371" s="1" t="s">
        <v>194</v>
      </c>
      <c r="C371" s="1" t="s">
        <v>9</v>
      </c>
      <c r="D371" s="1">
        <v>15</v>
      </c>
      <c r="E371" s="2">
        <v>184.87</v>
      </c>
      <c r="F371" s="2">
        <v>46.82</v>
      </c>
      <c r="G371" s="2">
        <v>571</v>
      </c>
      <c r="H371">
        <f t="shared" si="5"/>
        <v>2773.05</v>
      </c>
    </row>
    <row r="372" spans="1:8" x14ac:dyDescent="0.35">
      <c r="A372" s="1" t="s">
        <v>15</v>
      </c>
      <c r="B372" s="1" t="s">
        <v>202</v>
      </c>
      <c r="C372" s="1" t="s">
        <v>9</v>
      </c>
      <c r="D372" s="1">
        <v>24</v>
      </c>
      <c r="E372" s="2">
        <v>171.59</v>
      </c>
      <c r="F372" s="2">
        <v>49.8</v>
      </c>
      <c r="G372" s="2">
        <v>405.6</v>
      </c>
      <c r="H372">
        <f t="shared" si="5"/>
        <v>4118.16</v>
      </c>
    </row>
    <row r="373" spans="1:8" x14ac:dyDescent="0.35">
      <c r="A373" s="1" t="s">
        <v>15</v>
      </c>
      <c r="B373" s="1" t="s">
        <v>162</v>
      </c>
      <c r="C373" s="1" t="s">
        <v>9</v>
      </c>
      <c r="D373" s="1">
        <v>1</v>
      </c>
      <c r="E373" s="2">
        <v>163.26</v>
      </c>
      <c r="F373" s="2">
        <v>163.26</v>
      </c>
      <c r="G373" s="2">
        <v>163.26</v>
      </c>
      <c r="H373">
        <f t="shared" si="5"/>
        <v>163.26</v>
      </c>
    </row>
    <row r="374" spans="1:8" x14ac:dyDescent="0.35">
      <c r="A374" s="1" t="s">
        <v>15</v>
      </c>
      <c r="B374" s="1" t="s">
        <v>171</v>
      </c>
      <c r="C374" s="1" t="s">
        <v>9</v>
      </c>
      <c r="D374" s="1">
        <v>18</v>
      </c>
      <c r="E374" s="2">
        <v>157.21</v>
      </c>
      <c r="F374" s="2">
        <v>51.88</v>
      </c>
      <c r="G374" s="2">
        <v>327.52</v>
      </c>
      <c r="H374">
        <f t="shared" si="5"/>
        <v>2829.78</v>
      </c>
    </row>
    <row r="375" spans="1:8" x14ac:dyDescent="0.35">
      <c r="A375" s="1" t="s">
        <v>15</v>
      </c>
      <c r="B375" s="1" t="s">
        <v>172</v>
      </c>
      <c r="C375" s="1" t="s">
        <v>9</v>
      </c>
      <c r="D375" s="1">
        <v>22</v>
      </c>
      <c r="E375" s="2">
        <v>155.31</v>
      </c>
      <c r="F375" s="2">
        <v>43.8</v>
      </c>
      <c r="G375" s="2">
        <v>860.09</v>
      </c>
      <c r="H375">
        <f t="shared" si="5"/>
        <v>3416.82</v>
      </c>
    </row>
    <row r="376" spans="1:8" x14ac:dyDescent="0.35">
      <c r="A376" s="1" t="s">
        <v>15</v>
      </c>
      <c r="B376" s="1" t="s">
        <v>173</v>
      </c>
      <c r="C376" s="1" t="s">
        <v>9</v>
      </c>
      <c r="D376" s="1">
        <v>5</v>
      </c>
      <c r="E376" s="2">
        <v>154.75</v>
      </c>
      <c r="F376" s="2">
        <v>134.59</v>
      </c>
      <c r="G376" s="2">
        <v>169.01</v>
      </c>
      <c r="H376">
        <f t="shared" si="5"/>
        <v>773.75</v>
      </c>
    </row>
    <row r="377" spans="1:8" x14ac:dyDescent="0.35">
      <c r="A377" s="1" t="s">
        <v>15</v>
      </c>
      <c r="B377" s="1" t="s">
        <v>198</v>
      </c>
      <c r="C377" s="1" t="s">
        <v>9</v>
      </c>
      <c r="D377" s="1">
        <v>25</v>
      </c>
      <c r="E377" s="2">
        <v>154.36000000000001</v>
      </c>
      <c r="F377" s="2">
        <v>24.89</v>
      </c>
      <c r="G377" s="2">
        <v>515</v>
      </c>
      <c r="H377">
        <f t="shared" si="5"/>
        <v>3859.0000000000005</v>
      </c>
    </row>
    <row r="378" spans="1:8" x14ac:dyDescent="0.35">
      <c r="A378" s="1" t="s">
        <v>15</v>
      </c>
      <c r="B378" s="1" t="s">
        <v>207</v>
      </c>
      <c r="C378" s="1" t="s">
        <v>9</v>
      </c>
      <c r="D378" s="1">
        <v>22</v>
      </c>
      <c r="E378" s="2">
        <v>150.94</v>
      </c>
      <c r="F378" s="2">
        <v>1</v>
      </c>
      <c r="G378" s="2">
        <v>673</v>
      </c>
      <c r="H378">
        <f t="shared" si="5"/>
        <v>3320.68</v>
      </c>
    </row>
    <row r="379" spans="1:8" x14ac:dyDescent="0.35">
      <c r="A379" s="1" t="s">
        <v>15</v>
      </c>
      <c r="B379" s="1" t="s">
        <v>180</v>
      </c>
      <c r="C379" s="1" t="s">
        <v>9</v>
      </c>
      <c r="D379" s="1">
        <v>36</v>
      </c>
      <c r="E379" s="2">
        <v>148.82</v>
      </c>
      <c r="F379" s="2">
        <v>42.31</v>
      </c>
      <c r="G379" s="2">
        <v>388</v>
      </c>
      <c r="H379">
        <f t="shared" si="5"/>
        <v>5357.5199999999995</v>
      </c>
    </row>
    <row r="380" spans="1:8" x14ac:dyDescent="0.35">
      <c r="A380" s="1" t="s">
        <v>15</v>
      </c>
      <c r="B380" s="1" t="s">
        <v>164</v>
      </c>
      <c r="C380" s="1" t="s">
        <v>9</v>
      </c>
      <c r="D380" s="1">
        <v>27</v>
      </c>
      <c r="E380" s="2">
        <v>146.16999999999999</v>
      </c>
      <c r="F380" s="2">
        <v>1</v>
      </c>
      <c r="G380" s="2">
        <v>456.5</v>
      </c>
      <c r="H380">
        <f t="shared" si="5"/>
        <v>3946.5899999999997</v>
      </c>
    </row>
    <row r="381" spans="1:8" x14ac:dyDescent="0.35">
      <c r="A381" s="1" t="s">
        <v>15</v>
      </c>
      <c r="B381" s="1" t="s">
        <v>208</v>
      </c>
      <c r="C381" s="1" t="s">
        <v>9</v>
      </c>
      <c r="D381" s="1">
        <v>7</v>
      </c>
      <c r="E381" s="2">
        <v>144.22999999999999</v>
      </c>
      <c r="F381" s="2">
        <v>49.05</v>
      </c>
      <c r="G381" s="2">
        <v>512.96</v>
      </c>
      <c r="H381">
        <f t="shared" si="5"/>
        <v>1009.6099999999999</v>
      </c>
    </row>
    <row r="382" spans="1:8" x14ac:dyDescent="0.35">
      <c r="A382" s="1" t="s">
        <v>15</v>
      </c>
      <c r="B382" s="1" t="s">
        <v>167</v>
      </c>
      <c r="C382" s="1" t="s">
        <v>9</v>
      </c>
      <c r="D382" s="1">
        <v>63</v>
      </c>
      <c r="E382" s="2">
        <v>143.08000000000001</v>
      </c>
      <c r="F382" s="2">
        <v>37.630000000000003</v>
      </c>
      <c r="G382" s="2">
        <v>365.5</v>
      </c>
      <c r="H382">
        <f t="shared" si="5"/>
        <v>9014.0400000000009</v>
      </c>
    </row>
    <row r="383" spans="1:8" x14ac:dyDescent="0.35">
      <c r="A383" s="1" t="s">
        <v>15</v>
      </c>
      <c r="B383" s="1" t="s">
        <v>166</v>
      </c>
      <c r="C383" s="1" t="s">
        <v>9</v>
      </c>
      <c r="D383" s="1">
        <v>117</v>
      </c>
      <c r="E383" s="2">
        <v>142.24</v>
      </c>
      <c r="F383" s="2">
        <v>10</v>
      </c>
      <c r="G383" s="2">
        <v>526.73</v>
      </c>
      <c r="H383">
        <f t="shared" si="5"/>
        <v>16642.080000000002</v>
      </c>
    </row>
    <row r="384" spans="1:8" x14ac:dyDescent="0.35">
      <c r="A384" s="1" t="s">
        <v>15</v>
      </c>
      <c r="B384" s="1" t="s">
        <v>175</v>
      </c>
      <c r="C384" s="1" t="s">
        <v>9</v>
      </c>
      <c r="D384" s="1">
        <v>17</v>
      </c>
      <c r="E384" s="2">
        <v>138.44999999999999</v>
      </c>
      <c r="F384" s="2">
        <v>40.270000000000003</v>
      </c>
      <c r="G384" s="2">
        <v>432</v>
      </c>
      <c r="H384">
        <f t="shared" si="5"/>
        <v>2353.6499999999996</v>
      </c>
    </row>
    <row r="385" spans="1:8" x14ac:dyDescent="0.35">
      <c r="A385" s="1" t="s">
        <v>15</v>
      </c>
      <c r="B385" s="1" t="s">
        <v>184</v>
      </c>
      <c r="C385" s="1" t="s">
        <v>9</v>
      </c>
      <c r="D385" s="1">
        <v>30</v>
      </c>
      <c r="E385" s="2">
        <v>137.96</v>
      </c>
      <c r="F385" s="2">
        <v>38.049999999999997</v>
      </c>
      <c r="G385" s="2">
        <v>512</v>
      </c>
      <c r="H385">
        <f t="shared" si="5"/>
        <v>4138.8</v>
      </c>
    </row>
    <row r="386" spans="1:8" x14ac:dyDescent="0.35">
      <c r="A386" s="1" t="s">
        <v>15</v>
      </c>
      <c r="B386" s="1" t="s">
        <v>189</v>
      </c>
      <c r="C386" s="1" t="s">
        <v>9</v>
      </c>
      <c r="D386" s="1">
        <v>8</v>
      </c>
      <c r="E386" s="2">
        <v>134.72</v>
      </c>
      <c r="F386" s="2">
        <v>74.06</v>
      </c>
      <c r="G386" s="2">
        <v>335.37</v>
      </c>
      <c r="H386">
        <f t="shared" si="5"/>
        <v>1077.76</v>
      </c>
    </row>
    <row r="387" spans="1:8" x14ac:dyDescent="0.35">
      <c r="A387" s="1" t="s">
        <v>15</v>
      </c>
      <c r="B387" s="1" t="s">
        <v>186</v>
      </c>
      <c r="C387" s="1" t="s">
        <v>9</v>
      </c>
      <c r="D387" s="1">
        <v>82</v>
      </c>
      <c r="E387" s="2">
        <v>134.55000000000001</v>
      </c>
      <c r="F387" s="2">
        <v>38.97</v>
      </c>
      <c r="G387" s="2">
        <v>431.43</v>
      </c>
      <c r="H387">
        <f t="shared" si="5"/>
        <v>11033.1</v>
      </c>
    </row>
    <row r="388" spans="1:8" x14ac:dyDescent="0.35">
      <c r="A388" s="1" t="s">
        <v>15</v>
      </c>
      <c r="B388" s="1" t="s">
        <v>179</v>
      </c>
      <c r="C388" s="1" t="s">
        <v>9</v>
      </c>
      <c r="D388" s="1">
        <v>74</v>
      </c>
      <c r="E388" s="2">
        <v>133.83000000000001</v>
      </c>
      <c r="F388" s="2">
        <v>33.299999999999997</v>
      </c>
      <c r="G388" s="2">
        <v>589.66999999999996</v>
      </c>
      <c r="H388">
        <f t="shared" ref="H388:H451" si="6">E388*D388</f>
        <v>9903.42</v>
      </c>
    </row>
    <row r="389" spans="1:8" x14ac:dyDescent="0.35">
      <c r="A389" s="1" t="s">
        <v>15</v>
      </c>
      <c r="B389" s="1" t="s">
        <v>185</v>
      </c>
      <c r="C389" s="1" t="s">
        <v>9</v>
      </c>
      <c r="D389" s="1">
        <v>66</v>
      </c>
      <c r="E389" s="2">
        <v>132.38</v>
      </c>
      <c r="F389" s="2">
        <v>28.03</v>
      </c>
      <c r="G389" s="2">
        <v>548</v>
      </c>
      <c r="H389">
        <f t="shared" si="6"/>
        <v>8737.08</v>
      </c>
    </row>
    <row r="390" spans="1:8" x14ac:dyDescent="0.35">
      <c r="A390" s="1" t="s">
        <v>15</v>
      </c>
      <c r="B390" s="1" t="s">
        <v>181</v>
      </c>
      <c r="C390" s="1" t="s">
        <v>9</v>
      </c>
      <c r="D390" s="1">
        <v>138</v>
      </c>
      <c r="E390" s="2">
        <v>126.28</v>
      </c>
      <c r="F390" s="2">
        <v>38.020000000000003</v>
      </c>
      <c r="G390" s="2">
        <v>574.5</v>
      </c>
      <c r="H390">
        <f t="shared" si="6"/>
        <v>17426.64</v>
      </c>
    </row>
    <row r="391" spans="1:8" x14ac:dyDescent="0.35">
      <c r="A391" s="1" t="s">
        <v>15</v>
      </c>
      <c r="B391" s="1" t="s">
        <v>191</v>
      </c>
      <c r="C391" s="1" t="s">
        <v>9</v>
      </c>
      <c r="D391" s="1">
        <v>14</v>
      </c>
      <c r="E391" s="2">
        <v>124.82</v>
      </c>
      <c r="F391" s="2">
        <v>54.26</v>
      </c>
      <c r="G391" s="2">
        <v>774.33</v>
      </c>
      <c r="H391">
        <f t="shared" si="6"/>
        <v>1747.48</v>
      </c>
    </row>
    <row r="392" spans="1:8" x14ac:dyDescent="0.35">
      <c r="A392" s="1" t="s">
        <v>15</v>
      </c>
      <c r="B392" s="1" t="s">
        <v>193</v>
      </c>
      <c r="C392" s="1" t="s">
        <v>9</v>
      </c>
      <c r="D392" s="1">
        <v>27</v>
      </c>
      <c r="E392" s="2">
        <v>122.75</v>
      </c>
      <c r="F392" s="2">
        <v>45.37</v>
      </c>
      <c r="G392" s="2">
        <v>443.92</v>
      </c>
      <c r="H392">
        <f t="shared" si="6"/>
        <v>3314.25</v>
      </c>
    </row>
    <row r="393" spans="1:8" x14ac:dyDescent="0.35">
      <c r="A393" s="1" t="s">
        <v>15</v>
      </c>
      <c r="B393" s="1" t="s">
        <v>190</v>
      </c>
      <c r="C393" s="1" t="s">
        <v>9</v>
      </c>
      <c r="D393" s="1">
        <v>21</v>
      </c>
      <c r="E393" s="2">
        <v>121.66</v>
      </c>
      <c r="F393" s="2">
        <v>17.18</v>
      </c>
      <c r="G393" s="2">
        <v>409.68</v>
      </c>
      <c r="H393">
        <f t="shared" si="6"/>
        <v>2554.86</v>
      </c>
    </row>
    <row r="394" spans="1:8" x14ac:dyDescent="0.35">
      <c r="A394" s="1" t="s">
        <v>15</v>
      </c>
      <c r="B394" s="1" t="s">
        <v>178</v>
      </c>
      <c r="C394" s="1" t="s">
        <v>9</v>
      </c>
      <c r="D394" s="1">
        <v>54</v>
      </c>
      <c r="E394" s="2">
        <v>119.4</v>
      </c>
      <c r="F394" s="2">
        <v>34.299999999999997</v>
      </c>
      <c r="G394" s="2">
        <v>685</v>
      </c>
      <c r="H394">
        <f t="shared" si="6"/>
        <v>6447.6</v>
      </c>
    </row>
    <row r="395" spans="1:8" x14ac:dyDescent="0.35">
      <c r="A395" s="1" t="s">
        <v>15</v>
      </c>
      <c r="B395" s="1" t="s">
        <v>203</v>
      </c>
      <c r="C395" s="1" t="s">
        <v>9</v>
      </c>
      <c r="D395" s="1">
        <v>6</v>
      </c>
      <c r="E395" s="2">
        <v>116.28</v>
      </c>
      <c r="F395" s="2">
        <v>76.709999999999994</v>
      </c>
      <c r="G395" s="2">
        <v>165.37</v>
      </c>
      <c r="H395">
        <f t="shared" si="6"/>
        <v>697.68000000000006</v>
      </c>
    </row>
    <row r="396" spans="1:8" x14ac:dyDescent="0.35">
      <c r="A396" s="1" t="s">
        <v>15</v>
      </c>
      <c r="B396" s="1" t="s">
        <v>168</v>
      </c>
      <c r="C396" s="1" t="s">
        <v>9</v>
      </c>
      <c r="D396" s="1">
        <v>186</v>
      </c>
      <c r="E396" s="2">
        <v>116.25</v>
      </c>
      <c r="F396" s="2">
        <v>24.63</v>
      </c>
      <c r="G396" s="2">
        <v>595</v>
      </c>
      <c r="H396">
        <f t="shared" si="6"/>
        <v>21622.5</v>
      </c>
    </row>
    <row r="397" spans="1:8" x14ac:dyDescent="0.35">
      <c r="A397" s="1" t="s">
        <v>15</v>
      </c>
      <c r="B397" s="1" t="s">
        <v>174</v>
      </c>
      <c r="C397" s="1" t="s">
        <v>9</v>
      </c>
      <c r="D397" s="1">
        <v>2</v>
      </c>
      <c r="E397" s="2">
        <v>110.83</v>
      </c>
      <c r="F397" s="2">
        <v>97.67</v>
      </c>
      <c r="G397" s="2">
        <v>123.98</v>
      </c>
      <c r="H397">
        <f t="shared" si="6"/>
        <v>221.66</v>
      </c>
    </row>
    <row r="398" spans="1:8" x14ac:dyDescent="0.35">
      <c r="A398" s="1" t="s">
        <v>15</v>
      </c>
      <c r="B398" s="1" t="s">
        <v>195</v>
      </c>
      <c r="C398" s="1" t="s">
        <v>9</v>
      </c>
      <c r="D398" s="1">
        <v>95</v>
      </c>
      <c r="E398" s="2">
        <v>109.14</v>
      </c>
      <c r="F398" s="2">
        <v>1</v>
      </c>
      <c r="G398" s="2">
        <v>446</v>
      </c>
      <c r="H398">
        <f t="shared" si="6"/>
        <v>10368.299999999999</v>
      </c>
    </row>
    <row r="399" spans="1:8" x14ac:dyDescent="0.35">
      <c r="A399" s="1" t="s">
        <v>15</v>
      </c>
      <c r="B399" s="1" t="s">
        <v>192</v>
      </c>
      <c r="C399" s="1" t="s">
        <v>9</v>
      </c>
      <c r="D399" s="1">
        <v>69</v>
      </c>
      <c r="E399" s="2">
        <v>107.65</v>
      </c>
      <c r="F399" s="2">
        <v>19.72</v>
      </c>
      <c r="G399" s="2">
        <v>415.27</v>
      </c>
      <c r="H399">
        <f t="shared" si="6"/>
        <v>7427.85</v>
      </c>
    </row>
    <row r="400" spans="1:8" x14ac:dyDescent="0.35">
      <c r="A400" s="1" t="s">
        <v>15</v>
      </c>
      <c r="B400" s="1" t="s">
        <v>161</v>
      </c>
      <c r="C400" s="1" t="s">
        <v>9</v>
      </c>
      <c r="D400" s="1">
        <v>4</v>
      </c>
      <c r="E400" s="2">
        <v>107.57</v>
      </c>
      <c r="F400" s="2">
        <v>82.59</v>
      </c>
      <c r="G400" s="2">
        <v>159</v>
      </c>
      <c r="H400">
        <f t="shared" si="6"/>
        <v>430.28</v>
      </c>
    </row>
    <row r="401" spans="1:8" x14ac:dyDescent="0.35">
      <c r="A401" s="1" t="s">
        <v>15</v>
      </c>
      <c r="B401" s="1" t="s">
        <v>177</v>
      </c>
      <c r="C401" s="1" t="s">
        <v>9</v>
      </c>
      <c r="D401" s="1">
        <v>32</v>
      </c>
      <c r="E401" s="2">
        <v>106.23</v>
      </c>
      <c r="F401" s="2">
        <v>45.93</v>
      </c>
      <c r="G401" s="2">
        <v>385.25</v>
      </c>
      <c r="H401">
        <f t="shared" si="6"/>
        <v>3399.36</v>
      </c>
    </row>
    <row r="402" spans="1:8" x14ac:dyDescent="0.35">
      <c r="A402" s="1" t="s">
        <v>15</v>
      </c>
      <c r="B402" s="1" t="s">
        <v>187</v>
      </c>
      <c r="C402" s="1" t="s">
        <v>9</v>
      </c>
      <c r="D402" s="1">
        <v>26</v>
      </c>
      <c r="E402" s="2">
        <v>103.85</v>
      </c>
      <c r="F402" s="2">
        <v>43.17</v>
      </c>
      <c r="G402" s="2">
        <v>269</v>
      </c>
      <c r="H402">
        <f t="shared" si="6"/>
        <v>2700.1</v>
      </c>
    </row>
    <row r="403" spans="1:8" x14ac:dyDescent="0.35">
      <c r="A403" s="1" t="s">
        <v>15</v>
      </c>
      <c r="B403" s="1" t="s">
        <v>182</v>
      </c>
      <c r="C403" s="1" t="s">
        <v>9</v>
      </c>
      <c r="D403" s="1">
        <v>168</v>
      </c>
      <c r="E403" s="2">
        <v>102.92</v>
      </c>
      <c r="F403" s="2">
        <v>41.81</v>
      </c>
      <c r="G403" s="2">
        <v>512.39</v>
      </c>
      <c r="H403">
        <f t="shared" si="6"/>
        <v>17290.560000000001</v>
      </c>
    </row>
    <row r="404" spans="1:8" x14ac:dyDescent="0.35">
      <c r="A404" s="1" t="s">
        <v>15</v>
      </c>
      <c r="B404" s="1" t="s">
        <v>246</v>
      </c>
      <c r="C404" s="1" t="s">
        <v>9</v>
      </c>
      <c r="D404" s="1">
        <v>3</v>
      </c>
      <c r="E404" s="2">
        <v>102.89</v>
      </c>
      <c r="F404" s="2">
        <v>34.840000000000003</v>
      </c>
      <c r="G404" s="2">
        <v>239</v>
      </c>
      <c r="H404">
        <f t="shared" si="6"/>
        <v>308.67</v>
      </c>
    </row>
    <row r="405" spans="1:8" x14ac:dyDescent="0.35">
      <c r="A405" s="1" t="s">
        <v>15</v>
      </c>
      <c r="B405" s="1" t="s">
        <v>169</v>
      </c>
      <c r="C405" s="1" t="s">
        <v>9</v>
      </c>
      <c r="D405" s="1">
        <v>108</v>
      </c>
      <c r="E405" s="2">
        <v>102.71</v>
      </c>
      <c r="F405" s="2">
        <v>48.27</v>
      </c>
      <c r="G405" s="2">
        <v>491</v>
      </c>
      <c r="H405">
        <f t="shared" si="6"/>
        <v>11092.679999999998</v>
      </c>
    </row>
    <row r="406" spans="1:8" x14ac:dyDescent="0.35">
      <c r="A406" s="1" t="s">
        <v>15</v>
      </c>
      <c r="B406" s="1" t="s">
        <v>204</v>
      </c>
      <c r="C406" s="1" t="s">
        <v>9</v>
      </c>
      <c r="D406" s="1">
        <v>43</v>
      </c>
      <c r="E406" s="2">
        <v>97.77</v>
      </c>
      <c r="F406" s="2">
        <v>1</v>
      </c>
      <c r="G406" s="2">
        <v>685</v>
      </c>
      <c r="H406">
        <f t="shared" si="6"/>
        <v>4204.1099999999997</v>
      </c>
    </row>
    <row r="407" spans="1:8" x14ac:dyDescent="0.35">
      <c r="A407" s="1" t="s">
        <v>15</v>
      </c>
      <c r="B407" s="1" t="s">
        <v>205</v>
      </c>
      <c r="C407" s="1" t="s">
        <v>9</v>
      </c>
      <c r="D407" s="1">
        <v>7</v>
      </c>
      <c r="E407" s="2">
        <v>97.18</v>
      </c>
      <c r="F407" s="2">
        <v>35.53</v>
      </c>
      <c r="G407" s="2">
        <v>234</v>
      </c>
      <c r="H407">
        <f t="shared" si="6"/>
        <v>680.26</v>
      </c>
    </row>
    <row r="408" spans="1:8" x14ac:dyDescent="0.35">
      <c r="A408" s="1" t="s">
        <v>15</v>
      </c>
      <c r="B408" s="1" t="s">
        <v>247</v>
      </c>
      <c r="C408" s="1" t="s">
        <v>9</v>
      </c>
      <c r="D408" s="1">
        <v>4</v>
      </c>
      <c r="E408" s="2">
        <v>94.25</v>
      </c>
      <c r="F408" s="2">
        <v>86</v>
      </c>
      <c r="G408" s="2">
        <v>97</v>
      </c>
      <c r="H408">
        <f t="shared" si="6"/>
        <v>377</v>
      </c>
    </row>
    <row r="409" spans="1:8" x14ac:dyDescent="0.35">
      <c r="A409" s="1" t="s">
        <v>15</v>
      </c>
      <c r="B409" s="1" t="s">
        <v>163</v>
      </c>
      <c r="C409" s="1" t="s">
        <v>9</v>
      </c>
      <c r="D409" s="1">
        <v>19</v>
      </c>
      <c r="E409" s="2">
        <v>91.08</v>
      </c>
      <c r="F409" s="2">
        <v>40.549999999999997</v>
      </c>
      <c r="G409" s="2">
        <v>336.28</v>
      </c>
      <c r="H409">
        <f t="shared" si="6"/>
        <v>1730.52</v>
      </c>
    </row>
    <row r="410" spans="1:8" x14ac:dyDescent="0.35">
      <c r="A410" s="1" t="s">
        <v>15</v>
      </c>
      <c r="B410" s="1" t="s">
        <v>201</v>
      </c>
      <c r="C410" s="1" t="s">
        <v>9</v>
      </c>
      <c r="D410" s="1">
        <v>45</v>
      </c>
      <c r="E410" s="2">
        <v>90.36</v>
      </c>
      <c r="F410" s="2">
        <v>28.28</v>
      </c>
      <c r="G410" s="2">
        <v>285</v>
      </c>
      <c r="H410">
        <f t="shared" si="6"/>
        <v>4066.2</v>
      </c>
    </row>
    <row r="411" spans="1:8" x14ac:dyDescent="0.35">
      <c r="A411" s="1" t="s">
        <v>15</v>
      </c>
      <c r="B411" s="1" t="s">
        <v>196</v>
      </c>
      <c r="C411" s="1" t="s">
        <v>9</v>
      </c>
      <c r="D411" s="1">
        <v>14</v>
      </c>
      <c r="E411" s="2">
        <v>89.68</v>
      </c>
      <c r="F411" s="2">
        <v>42.63</v>
      </c>
      <c r="G411" s="2">
        <v>214</v>
      </c>
      <c r="H411">
        <f t="shared" si="6"/>
        <v>1255.52</v>
      </c>
    </row>
    <row r="412" spans="1:8" x14ac:dyDescent="0.35">
      <c r="A412" s="1" t="s">
        <v>15</v>
      </c>
      <c r="B412" s="1" t="s">
        <v>176</v>
      </c>
      <c r="C412" s="1" t="s">
        <v>9</v>
      </c>
      <c r="D412" s="1">
        <v>30</v>
      </c>
      <c r="E412" s="2">
        <v>86.35</v>
      </c>
      <c r="F412" s="2">
        <v>49.56</v>
      </c>
      <c r="G412" s="2">
        <v>183</v>
      </c>
      <c r="H412">
        <f t="shared" si="6"/>
        <v>2590.5</v>
      </c>
    </row>
    <row r="413" spans="1:8" x14ac:dyDescent="0.35">
      <c r="A413" s="1" t="s">
        <v>15</v>
      </c>
      <c r="B413" s="1" t="s">
        <v>199</v>
      </c>
      <c r="C413" s="1" t="s">
        <v>9</v>
      </c>
      <c r="D413" s="1">
        <v>12</v>
      </c>
      <c r="E413" s="2">
        <v>86.09</v>
      </c>
      <c r="F413" s="2">
        <v>44.34</v>
      </c>
      <c r="G413" s="2">
        <v>224.25</v>
      </c>
      <c r="H413">
        <f t="shared" si="6"/>
        <v>1033.08</v>
      </c>
    </row>
    <row r="414" spans="1:8" x14ac:dyDescent="0.35">
      <c r="A414" s="1" t="s">
        <v>15</v>
      </c>
      <c r="B414" s="1" t="s">
        <v>200</v>
      </c>
      <c r="C414" s="1" t="s">
        <v>9</v>
      </c>
      <c r="D414" s="1">
        <v>138</v>
      </c>
      <c r="E414" s="2">
        <v>81.67</v>
      </c>
      <c r="F414" s="2">
        <v>25.6</v>
      </c>
      <c r="G414" s="2">
        <v>560</v>
      </c>
      <c r="H414">
        <f t="shared" si="6"/>
        <v>11270.460000000001</v>
      </c>
    </row>
    <row r="415" spans="1:8" x14ac:dyDescent="0.35">
      <c r="A415" s="1" t="s">
        <v>15</v>
      </c>
      <c r="B415" s="1" t="s">
        <v>170</v>
      </c>
      <c r="C415" s="1" t="s">
        <v>9</v>
      </c>
      <c r="D415" s="1">
        <v>23</v>
      </c>
      <c r="E415" s="2">
        <v>76.63</v>
      </c>
      <c r="F415" s="2">
        <v>44.18</v>
      </c>
      <c r="G415" s="2">
        <v>332.6</v>
      </c>
      <c r="H415">
        <f t="shared" si="6"/>
        <v>1762.4899999999998</v>
      </c>
    </row>
    <row r="416" spans="1:8" x14ac:dyDescent="0.35">
      <c r="A416" s="1" t="s">
        <v>15</v>
      </c>
      <c r="B416" s="1" t="s">
        <v>197</v>
      </c>
      <c r="C416" s="1" t="s">
        <v>9</v>
      </c>
      <c r="D416" s="1">
        <v>131</v>
      </c>
      <c r="E416" s="2">
        <v>73.87</v>
      </c>
      <c r="F416" s="2">
        <v>39.83</v>
      </c>
      <c r="G416" s="2">
        <v>349</v>
      </c>
      <c r="H416">
        <f t="shared" si="6"/>
        <v>9676.9700000000012</v>
      </c>
    </row>
    <row r="417" spans="1:8" x14ac:dyDescent="0.35">
      <c r="A417" s="1" t="s">
        <v>16</v>
      </c>
      <c r="B417" s="1" t="s">
        <v>226</v>
      </c>
      <c r="C417" s="1" t="s">
        <v>9</v>
      </c>
      <c r="D417" s="1">
        <v>1</v>
      </c>
      <c r="E417" s="2">
        <v>394.93</v>
      </c>
      <c r="F417" s="2">
        <v>394.93</v>
      </c>
      <c r="G417" s="2">
        <v>394.93</v>
      </c>
      <c r="H417">
        <f t="shared" si="6"/>
        <v>394.93</v>
      </c>
    </row>
    <row r="418" spans="1:8" x14ac:dyDescent="0.35">
      <c r="A418" s="1" t="s">
        <v>16</v>
      </c>
      <c r="B418" s="1" t="s">
        <v>224</v>
      </c>
      <c r="C418" s="1" t="s">
        <v>9</v>
      </c>
      <c r="D418" s="1">
        <v>2</v>
      </c>
      <c r="E418" s="2">
        <v>391.46</v>
      </c>
      <c r="F418" s="2">
        <v>297.92</v>
      </c>
      <c r="G418" s="2">
        <v>485</v>
      </c>
      <c r="H418">
        <f t="shared" si="6"/>
        <v>782.92</v>
      </c>
    </row>
    <row r="419" spans="1:8" x14ac:dyDescent="0.35">
      <c r="A419" s="1" t="s">
        <v>16</v>
      </c>
      <c r="B419" s="1" t="s">
        <v>219</v>
      </c>
      <c r="C419" s="1" t="s">
        <v>9</v>
      </c>
      <c r="D419" s="1">
        <v>2</v>
      </c>
      <c r="E419" s="2">
        <v>238.04</v>
      </c>
      <c r="F419" s="2">
        <v>215</v>
      </c>
      <c r="G419" s="2">
        <v>261.07</v>
      </c>
      <c r="H419">
        <f t="shared" si="6"/>
        <v>476.08</v>
      </c>
    </row>
    <row r="420" spans="1:8" x14ac:dyDescent="0.35">
      <c r="A420" s="1" t="s">
        <v>16</v>
      </c>
      <c r="B420" s="1" t="s">
        <v>231</v>
      </c>
      <c r="C420" s="1" t="s">
        <v>9</v>
      </c>
      <c r="D420" s="1">
        <v>1</v>
      </c>
      <c r="E420" s="2">
        <v>201.99</v>
      </c>
      <c r="F420" s="2">
        <v>201.99</v>
      </c>
      <c r="G420" s="2">
        <v>201.99</v>
      </c>
      <c r="H420">
        <f t="shared" si="6"/>
        <v>201.99</v>
      </c>
    </row>
    <row r="421" spans="1:8" x14ac:dyDescent="0.35">
      <c r="A421" s="1" t="s">
        <v>16</v>
      </c>
      <c r="B421" s="1" t="s">
        <v>248</v>
      </c>
      <c r="C421" s="1" t="s">
        <v>9</v>
      </c>
      <c r="D421" s="1">
        <v>1</v>
      </c>
      <c r="E421" s="2">
        <v>200</v>
      </c>
      <c r="F421" s="2">
        <v>200</v>
      </c>
      <c r="G421" s="2">
        <v>200</v>
      </c>
      <c r="H421">
        <f t="shared" si="6"/>
        <v>200</v>
      </c>
    </row>
    <row r="422" spans="1:8" x14ac:dyDescent="0.35">
      <c r="A422" s="1" t="s">
        <v>16</v>
      </c>
      <c r="B422" s="1" t="s">
        <v>220</v>
      </c>
      <c r="C422" s="1" t="s">
        <v>9</v>
      </c>
      <c r="D422" s="1">
        <v>12</v>
      </c>
      <c r="E422" s="2">
        <v>186.74</v>
      </c>
      <c r="F422" s="2">
        <v>46.3</v>
      </c>
      <c r="G422" s="2">
        <v>642</v>
      </c>
      <c r="H422">
        <f t="shared" si="6"/>
        <v>2240.88</v>
      </c>
    </row>
    <row r="423" spans="1:8" x14ac:dyDescent="0.35">
      <c r="A423" s="1" t="s">
        <v>16</v>
      </c>
      <c r="B423" s="1" t="s">
        <v>215</v>
      </c>
      <c r="C423" s="1" t="s">
        <v>9</v>
      </c>
      <c r="D423" s="1">
        <v>2</v>
      </c>
      <c r="E423" s="2">
        <v>180.83</v>
      </c>
      <c r="F423" s="2">
        <v>114.16</v>
      </c>
      <c r="G423" s="2">
        <v>247.5</v>
      </c>
      <c r="H423">
        <f t="shared" si="6"/>
        <v>361.66</v>
      </c>
    </row>
    <row r="424" spans="1:8" x14ac:dyDescent="0.35">
      <c r="A424" s="1" t="s">
        <v>16</v>
      </c>
      <c r="B424" s="1" t="s">
        <v>223</v>
      </c>
      <c r="C424" s="1" t="s">
        <v>9</v>
      </c>
      <c r="D424" s="1">
        <v>2</v>
      </c>
      <c r="E424" s="2">
        <v>173.4</v>
      </c>
      <c r="F424" s="2">
        <v>49.8</v>
      </c>
      <c r="G424" s="2">
        <v>297</v>
      </c>
      <c r="H424">
        <f t="shared" si="6"/>
        <v>346.8</v>
      </c>
    </row>
    <row r="425" spans="1:8" x14ac:dyDescent="0.35">
      <c r="A425" s="1" t="s">
        <v>16</v>
      </c>
      <c r="B425" s="1" t="s">
        <v>218</v>
      </c>
      <c r="C425" s="1" t="s">
        <v>9</v>
      </c>
      <c r="D425" s="1">
        <v>5</v>
      </c>
      <c r="E425" s="2">
        <v>171.84</v>
      </c>
      <c r="F425" s="2">
        <v>101.12</v>
      </c>
      <c r="G425" s="2">
        <v>213.4</v>
      </c>
      <c r="H425">
        <f t="shared" si="6"/>
        <v>859.2</v>
      </c>
    </row>
    <row r="426" spans="1:8" x14ac:dyDescent="0.35">
      <c r="A426" s="1" t="s">
        <v>16</v>
      </c>
      <c r="B426" s="1" t="s">
        <v>216</v>
      </c>
      <c r="C426" s="1" t="s">
        <v>9</v>
      </c>
      <c r="D426" s="1">
        <v>1</v>
      </c>
      <c r="E426" s="2">
        <v>160</v>
      </c>
      <c r="F426" s="2">
        <v>160</v>
      </c>
      <c r="G426" s="2">
        <v>160</v>
      </c>
      <c r="H426">
        <f t="shared" si="6"/>
        <v>160</v>
      </c>
    </row>
    <row r="427" spans="1:8" x14ac:dyDescent="0.35">
      <c r="A427" s="1" t="s">
        <v>16</v>
      </c>
      <c r="B427" s="1" t="s">
        <v>239</v>
      </c>
      <c r="C427" s="1" t="s">
        <v>9</v>
      </c>
      <c r="D427" s="1">
        <v>3</v>
      </c>
      <c r="E427" s="2">
        <v>156.12</v>
      </c>
      <c r="F427" s="2">
        <v>57.52</v>
      </c>
      <c r="G427" s="2">
        <v>221.83</v>
      </c>
      <c r="H427">
        <f t="shared" si="6"/>
        <v>468.36</v>
      </c>
    </row>
    <row r="428" spans="1:8" x14ac:dyDescent="0.35">
      <c r="A428" s="1" t="s">
        <v>16</v>
      </c>
      <c r="B428" s="1" t="s">
        <v>232</v>
      </c>
      <c r="C428" s="1" t="s">
        <v>9</v>
      </c>
      <c r="D428" s="1">
        <v>2</v>
      </c>
      <c r="E428" s="2">
        <v>144.38999999999999</v>
      </c>
      <c r="F428" s="2">
        <v>112.77</v>
      </c>
      <c r="G428" s="2">
        <v>176</v>
      </c>
      <c r="H428">
        <f t="shared" si="6"/>
        <v>288.77999999999997</v>
      </c>
    </row>
    <row r="429" spans="1:8" x14ac:dyDescent="0.35">
      <c r="A429" s="1" t="s">
        <v>16</v>
      </c>
      <c r="B429" s="1" t="s">
        <v>249</v>
      </c>
      <c r="C429" s="1" t="s">
        <v>9</v>
      </c>
      <c r="D429" s="1">
        <v>1</v>
      </c>
      <c r="E429" s="2">
        <v>136.21</v>
      </c>
      <c r="F429" s="2">
        <v>136.21</v>
      </c>
      <c r="G429" s="2">
        <v>136.21</v>
      </c>
      <c r="H429">
        <f t="shared" si="6"/>
        <v>136.21</v>
      </c>
    </row>
    <row r="430" spans="1:8" x14ac:dyDescent="0.35">
      <c r="A430" s="1" t="s">
        <v>16</v>
      </c>
      <c r="B430" s="1" t="s">
        <v>242</v>
      </c>
      <c r="C430" s="1" t="s">
        <v>9</v>
      </c>
      <c r="D430" s="1">
        <v>5</v>
      </c>
      <c r="E430" s="2">
        <v>132.84</v>
      </c>
      <c r="F430" s="2">
        <v>37.06</v>
      </c>
      <c r="G430" s="2">
        <v>337</v>
      </c>
      <c r="H430">
        <f t="shared" si="6"/>
        <v>664.2</v>
      </c>
    </row>
    <row r="431" spans="1:8" x14ac:dyDescent="0.35">
      <c r="A431" s="1" t="s">
        <v>16</v>
      </c>
      <c r="B431" s="1" t="s">
        <v>236</v>
      </c>
      <c r="C431" s="1" t="s">
        <v>9</v>
      </c>
      <c r="D431" s="1">
        <v>1</v>
      </c>
      <c r="E431" s="2">
        <v>126</v>
      </c>
      <c r="F431" s="2">
        <v>126</v>
      </c>
      <c r="G431" s="2">
        <v>126</v>
      </c>
      <c r="H431">
        <f t="shared" si="6"/>
        <v>126</v>
      </c>
    </row>
    <row r="432" spans="1:8" x14ac:dyDescent="0.35">
      <c r="A432" s="1" t="s">
        <v>16</v>
      </c>
      <c r="B432" s="1" t="s">
        <v>241</v>
      </c>
      <c r="C432" s="1" t="s">
        <v>9</v>
      </c>
      <c r="D432" s="1">
        <v>3</v>
      </c>
      <c r="E432" s="2">
        <v>122.83</v>
      </c>
      <c r="F432" s="2">
        <v>61.47</v>
      </c>
      <c r="G432" s="2">
        <v>213</v>
      </c>
      <c r="H432">
        <f t="shared" si="6"/>
        <v>368.49</v>
      </c>
    </row>
    <row r="433" spans="1:8" x14ac:dyDescent="0.35">
      <c r="A433" s="1" t="s">
        <v>16</v>
      </c>
      <c r="B433" s="1" t="s">
        <v>229</v>
      </c>
      <c r="C433" s="1" t="s">
        <v>9</v>
      </c>
      <c r="D433" s="1">
        <v>9</v>
      </c>
      <c r="E433" s="2">
        <v>120.64</v>
      </c>
      <c r="F433" s="2">
        <v>37.79</v>
      </c>
      <c r="G433" s="2">
        <v>357</v>
      </c>
      <c r="H433">
        <f t="shared" si="6"/>
        <v>1085.76</v>
      </c>
    </row>
    <row r="434" spans="1:8" x14ac:dyDescent="0.35">
      <c r="A434" s="1" t="s">
        <v>16</v>
      </c>
      <c r="B434" s="1" t="s">
        <v>222</v>
      </c>
      <c r="C434" s="1" t="s">
        <v>9</v>
      </c>
      <c r="D434" s="1">
        <v>16</v>
      </c>
      <c r="E434" s="2">
        <v>116.06</v>
      </c>
      <c r="F434" s="2">
        <v>23.98</v>
      </c>
      <c r="G434" s="2">
        <v>273.67</v>
      </c>
      <c r="H434">
        <f t="shared" si="6"/>
        <v>1856.96</v>
      </c>
    </row>
    <row r="435" spans="1:8" x14ac:dyDescent="0.35">
      <c r="A435" s="1" t="s">
        <v>16</v>
      </c>
      <c r="B435" s="1" t="s">
        <v>250</v>
      </c>
      <c r="C435" s="1" t="s">
        <v>9</v>
      </c>
      <c r="D435" s="1">
        <v>3</v>
      </c>
      <c r="E435" s="2">
        <v>115.65</v>
      </c>
      <c r="F435" s="2">
        <v>82.97</v>
      </c>
      <c r="G435" s="2">
        <v>181</v>
      </c>
      <c r="H435">
        <f t="shared" si="6"/>
        <v>346.95000000000005</v>
      </c>
    </row>
    <row r="436" spans="1:8" x14ac:dyDescent="0.35">
      <c r="A436" s="1" t="s">
        <v>16</v>
      </c>
      <c r="B436" s="1" t="s">
        <v>238</v>
      </c>
      <c r="C436" s="1" t="s">
        <v>9</v>
      </c>
      <c r="D436" s="1">
        <v>9</v>
      </c>
      <c r="E436" s="2">
        <v>109.99</v>
      </c>
      <c r="F436" s="2">
        <v>43.62</v>
      </c>
      <c r="G436" s="2">
        <v>233.59</v>
      </c>
      <c r="H436">
        <f t="shared" si="6"/>
        <v>989.91</v>
      </c>
    </row>
    <row r="437" spans="1:8" x14ac:dyDescent="0.35">
      <c r="A437" s="1" t="s">
        <v>16</v>
      </c>
      <c r="B437" s="1" t="s">
        <v>217</v>
      </c>
      <c r="C437" s="1" t="s">
        <v>9</v>
      </c>
      <c r="D437" s="1">
        <v>11</v>
      </c>
      <c r="E437" s="2">
        <v>106.95</v>
      </c>
      <c r="F437" s="2">
        <v>52.21</v>
      </c>
      <c r="G437" s="2">
        <v>148.66999999999999</v>
      </c>
      <c r="H437">
        <f t="shared" si="6"/>
        <v>1176.45</v>
      </c>
    </row>
    <row r="438" spans="1:8" x14ac:dyDescent="0.35">
      <c r="A438" s="1" t="s">
        <v>16</v>
      </c>
      <c r="B438" s="1" t="s">
        <v>228</v>
      </c>
      <c r="C438" s="1" t="s">
        <v>9</v>
      </c>
      <c r="D438" s="1">
        <v>23</v>
      </c>
      <c r="E438" s="2">
        <v>104.51</v>
      </c>
      <c r="F438" s="2">
        <v>1</v>
      </c>
      <c r="G438" s="2">
        <v>317</v>
      </c>
      <c r="H438">
        <f t="shared" si="6"/>
        <v>2403.73</v>
      </c>
    </row>
    <row r="439" spans="1:8" x14ac:dyDescent="0.35">
      <c r="A439" s="1" t="s">
        <v>16</v>
      </c>
      <c r="B439" s="1" t="s">
        <v>237</v>
      </c>
      <c r="C439" s="1" t="s">
        <v>9</v>
      </c>
      <c r="D439" s="1">
        <v>14</v>
      </c>
      <c r="E439" s="2">
        <v>97.99</v>
      </c>
      <c r="F439" s="2">
        <v>47.97</v>
      </c>
      <c r="G439" s="2">
        <v>227.39</v>
      </c>
      <c r="H439">
        <f t="shared" si="6"/>
        <v>1371.86</v>
      </c>
    </row>
    <row r="440" spans="1:8" x14ac:dyDescent="0.35">
      <c r="A440" s="1" t="s">
        <v>16</v>
      </c>
      <c r="B440" s="1" t="s">
        <v>243</v>
      </c>
      <c r="C440" s="1" t="s">
        <v>9</v>
      </c>
      <c r="D440" s="1">
        <v>2</v>
      </c>
      <c r="E440" s="2">
        <v>97.45</v>
      </c>
      <c r="F440" s="2">
        <v>66.819999999999993</v>
      </c>
      <c r="G440" s="2">
        <v>128.07</v>
      </c>
      <c r="H440">
        <f t="shared" si="6"/>
        <v>194.9</v>
      </c>
    </row>
    <row r="441" spans="1:8" x14ac:dyDescent="0.35">
      <c r="A441" s="1" t="s">
        <v>16</v>
      </c>
      <c r="B441" s="1" t="s">
        <v>233</v>
      </c>
      <c r="C441" s="1" t="s">
        <v>9</v>
      </c>
      <c r="D441" s="1">
        <v>4</v>
      </c>
      <c r="E441" s="2">
        <v>92.54</v>
      </c>
      <c r="F441" s="2">
        <v>72.25</v>
      </c>
      <c r="G441" s="2">
        <v>117.64</v>
      </c>
      <c r="H441">
        <f t="shared" si="6"/>
        <v>370.16</v>
      </c>
    </row>
    <row r="442" spans="1:8" x14ac:dyDescent="0.35">
      <c r="A442" s="1" t="s">
        <v>16</v>
      </c>
      <c r="B442" s="1" t="s">
        <v>235</v>
      </c>
      <c r="C442" s="1" t="s">
        <v>9</v>
      </c>
      <c r="D442" s="1">
        <v>14</v>
      </c>
      <c r="E442" s="2">
        <v>92.4</v>
      </c>
      <c r="F442" s="2">
        <v>45.8</v>
      </c>
      <c r="G442" s="2">
        <v>313.51</v>
      </c>
      <c r="H442">
        <f t="shared" si="6"/>
        <v>1293.6000000000001</v>
      </c>
    </row>
    <row r="443" spans="1:8" x14ac:dyDescent="0.35">
      <c r="A443" s="1" t="s">
        <v>16</v>
      </c>
      <c r="B443" s="1" t="s">
        <v>240</v>
      </c>
      <c r="C443" s="1" t="s">
        <v>9</v>
      </c>
      <c r="D443" s="1">
        <v>3</v>
      </c>
      <c r="E443" s="2">
        <v>79.010000000000005</v>
      </c>
      <c r="F443" s="2">
        <v>69.17</v>
      </c>
      <c r="G443" s="2">
        <v>90.25</v>
      </c>
      <c r="H443">
        <f t="shared" si="6"/>
        <v>237.03000000000003</v>
      </c>
    </row>
    <row r="444" spans="1:8" x14ac:dyDescent="0.35">
      <c r="A444" s="1" t="s">
        <v>16</v>
      </c>
      <c r="B444" s="1" t="s">
        <v>221</v>
      </c>
      <c r="C444" s="1" t="s">
        <v>9</v>
      </c>
      <c r="D444" s="1">
        <v>3</v>
      </c>
      <c r="E444" s="2">
        <v>75.69</v>
      </c>
      <c r="F444" s="2">
        <v>10.23</v>
      </c>
      <c r="G444" s="2">
        <v>108.8</v>
      </c>
      <c r="H444">
        <f t="shared" si="6"/>
        <v>227.07</v>
      </c>
    </row>
    <row r="445" spans="1:8" x14ac:dyDescent="0.35">
      <c r="A445" s="1" t="s">
        <v>16</v>
      </c>
      <c r="B445" s="1" t="s">
        <v>214</v>
      </c>
      <c r="C445" s="1" t="s">
        <v>9</v>
      </c>
      <c r="D445" s="1">
        <v>2</v>
      </c>
      <c r="E445" s="2">
        <v>70.5</v>
      </c>
      <c r="F445" s="2">
        <v>61.73</v>
      </c>
      <c r="G445" s="2">
        <v>79.260000000000005</v>
      </c>
      <c r="H445">
        <f t="shared" si="6"/>
        <v>141</v>
      </c>
    </row>
    <row r="446" spans="1:8" x14ac:dyDescent="0.35">
      <c r="A446" s="1" t="s">
        <v>16</v>
      </c>
      <c r="B446" s="1" t="s">
        <v>251</v>
      </c>
      <c r="C446" s="1" t="s">
        <v>9</v>
      </c>
      <c r="D446" s="1">
        <v>2</v>
      </c>
      <c r="E446" s="2">
        <v>62.89</v>
      </c>
      <c r="F446" s="2">
        <v>59.73</v>
      </c>
      <c r="G446" s="2">
        <v>66.040000000000006</v>
      </c>
      <c r="H446">
        <f t="shared" si="6"/>
        <v>125.78</v>
      </c>
    </row>
    <row r="447" spans="1:8" x14ac:dyDescent="0.35">
      <c r="A447" s="1" t="s">
        <v>8</v>
      </c>
      <c r="B447" s="1" t="s">
        <v>53</v>
      </c>
      <c r="C447" s="1" t="s">
        <v>11</v>
      </c>
      <c r="D447" s="1">
        <v>1</v>
      </c>
      <c r="E447" s="2">
        <v>75.44</v>
      </c>
      <c r="F447" s="2">
        <v>75.44</v>
      </c>
      <c r="G447" s="2">
        <v>75.44</v>
      </c>
      <c r="H447">
        <f t="shared" si="6"/>
        <v>75.44</v>
      </c>
    </row>
    <row r="448" spans="1:8" x14ac:dyDescent="0.35">
      <c r="A448" s="1" t="s">
        <v>8</v>
      </c>
      <c r="B448" s="1" t="s">
        <v>46</v>
      </c>
      <c r="C448" s="1" t="s">
        <v>11</v>
      </c>
      <c r="D448" s="1">
        <v>1</v>
      </c>
      <c r="E448" s="2">
        <v>31.39</v>
      </c>
      <c r="F448" s="2">
        <v>31.39</v>
      </c>
      <c r="G448" s="2">
        <v>31.39</v>
      </c>
      <c r="H448">
        <f t="shared" si="6"/>
        <v>31.39</v>
      </c>
    </row>
    <row r="449" spans="1:8" x14ac:dyDescent="0.35">
      <c r="A449" s="1" t="s">
        <v>12</v>
      </c>
      <c r="B449" s="1" t="s">
        <v>122</v>
      </c>
      <c r="C449" s="1" t="s">
        <v>11</v>
      </c>
      <c r="D449" s="1">
        <v>1</v>
      </c>
      <c r="E449" s="2">
        <v>450</v>
      </c>
      <c r="F449" s="2">
        <v>450</v>
      </c>
      <c r="G449" s="2">
        <v>450</v>
      </c>
      <c r="H449">
        <f t="shared" si="6"/>
        <v>450</v>
      </c>
    </row>
    <row r="450" spans="1:8" x14ac:dyDescent="0.35">
      <c r="A450" s="1" t="s">
        <v>12</v>
      </c>
      <c r="B450" s="1" t="s">
        <v>83</v>
      </c>
      <c r="C450" s="1" t="s">
        <v>11</v>
      </c>
      <c r="D450" s="1">
        <v>1</v>
      </c>
      <c r="E450" s="2">
        <v>307</v>
      </c>
      <c r="F450" s="2">
        <v>307</v>
      </c>
      <c r="G450" s="2">
        <v>307</v>
      </c>
      <c r="H450">
        <f t="shared" si="6"/>
        <v>307</v>
      </c>
    </row>
    <row r="451" spans="1:8" x14ac:dyDescent="0.35">
      <c r="A451" s="1" t="s">
        <v>12</v>
      </c>
      <c r="B451" s="1" t="s">
        <v>95</v>
      </c>
      <c r="C451" s="1" t="s">
        <v>11</v>
      </c>
      <c r="D451" s="1">
        <v>1</v>
      </c>
      <c r="E451" s="2">
        <v>294.27</v>
      </c>
      <c r="F451" s="2">
        <v>294.27</v>
      </c>
      <c r="G451" s="2">
        <v>294.27</v>
      </c>
      <c r="H451">
        <f t="shared" si="6"/>
        <v>294.27</v>
      </c>
    </row>
    <row r="452" spans="1:8" x14ac:dyDescent="0.35">
      <c r="A452" s="1" t="s">
        <v>12</v>
      </c>
      <c r="B452" s="1" t="s">
        <v>111</v>
      </c>
      <c r="C452" s="1" t="s">
        <v>11</v>
      </c>
      <c r="D452" s="1">
        <v>3</v>
      </c>
      <c r="E452" s="2">
        <v>218.56</v>
      </c>
      <c r="F452" s="2">
        <v>69.14</v>
      </c>
      <c r="G452" s="2">
        <v>485</v>
      </c>
      <c r="H452">
        <f t="shared" ref="H452:H502" si="7">E452*D452</f>
        <v>655.68000000000006</v>
      </c>
    </row>
    <row r="453" spans="1:8" x14ac:dyDescent="0.35">
      <c r="A453" s="1" t="s">
        <v>12</v>
      </c>
      <c r="B453" s="1" t="s">
        <v>112</v>
      </c>
      <c r="C453" s="1" t="s">
        <v>11</v>
      </c>
      <c r="D453" s="1">
        <v>2</v>
      </c>
      <c r="E453" s="2">
        <v>217.75</v>
      </c>
      <c r="F453" s="2">
        <v>151</v>
      </c>
      <c r="G453" s="2">
        <v>284.5</v>
      </c>
      <c r="H453">
        <f t="shared" si="7"/>
        <v>435.5</v>
      </c>
    </row>
    <row r="454" spans="1:8" x14ac:dyDescent="0.35">
      <c r="A454" s="1" t="s">
        <v>12</v>
      </c>
      <c r="B454" s="1" t="s">
        <v>121</v>
      </c>
      <c r="C454" s="1" t="s">
        <v>11</v>
      </c>
      <c r="D454" s="1">
        <v>1</v>
      </c>
      <c r="E454" s="2">
        <v>216.67</v>
      </c>
      <c r="F454" s="2">
        <v>216.67</v>
      </c>
      <c r="G454" s="2">
        <v>216.67</v>
      </c>
      <c r="H454">
        <f t="shared" si="7"/>
        <v>216.67</v>
      </c>
    </row>
    <row r="455" spans="1:8" x14ac:dyDescent="0.35">
      <c r="A455" s="1" t="s">
        <v>12</v>
      </c>
      <c r="B455" s="1" t="s">
        <v>94</v>
      </c>
      <c r="C455" s="1" t="s">
        <v>11</v>
      </c>
      <c r="D455" s="1">
        <v>9</v>
      </c>
      <c r="E455" s="2">
        <v>199.52</v>
      </c>
      <c r="F455" s="2">
        <v>46.9</v>
      </c>
      <c r="G455" s="2">
        <v>552</v>
      </c>
      <c r="H455">
        <f t="shared" si="7"/>
        <v>1795.68</v>
      </c>
    </row>
    <row r="456" spans="1:8" x14ac:dyDescent="0.35">
      <c r="A456" s="1" t="s">
        <v>12</v>
      </c>
      <c r="B456" s="1" t="s">
        <v>115</v>
      </c>
      <c r="C456" s="1" t="s">
        <v>11</v>
      </c>
      <c r="D456" s="1">
        <v>3</v>
      </c>
      <c r="E456" s="2">
        <v>169.38</v>
      </c>
      <c r="F456" s="2">
        <v>58.82</v>
      </c>
      <c r="G456" s="2">
        <v>286</v>
      </c>
      <c r="H456">
        <f t="shared" si="7"/>
        <v>508.14</v>
      </c>
    </row>
    <row r="457" spans="1:8" x14ac:dyDescent="0.35">
      <c r="A457" s="1" t="s">
        <v>12</v>
      </c>
      <c r="B457" s="1" t="s">
        <v>109</v>
      </c>
      <c r="C457" s="1" t="s">
        <v>11</v>
      </c>
      <c r="D457" s="1">
        <v>3</v>
      </c>
      <c r="E457" s="2">
        <v>132.41999999999999</v>
      </c>
      <c r="F457" s="2">
        <v>112.1</v>
      </c>
      <c r="G457" s="2">
        <v>142.65</v>
      </c>
      <c r="H457">
        <f t="shared" si="7"/>
        <v>397.26</v>
      </c>
    </row>
    <row r="458" spans="1:8" x14ac:dyDescent="0.35">
      <c r="A458" s="1" t="s">
        <v>12</v>
      </c>
      <c r="B458" s="1" t="s">
        <v>110</v>
      </c>
      <c r="C458" s="1" t="s">
        <v>11</v>
      </c>
      <c r="D458" s="1">
        <v>2</v>
      </c>
      <c r="E458" s="2">
        <v>121.24</v>
      </c>
      <c r="F458" s="2">
        <v>110.62</v>
      </c>
      <c r="G458" s="2">
        <v>131.86000000000001</v>
      </c>
      <c r="H458">
        <f t="shared" si="7"/>
        <v>242.48</v>
      </c>
    </row>
    <row r="459" spans="1:8" x14ac:dyDescent="0.35">
      <c r="A459" s="1" t="s">
        <v>12</v>
      </c>
      <c r="B459" s="1" t="s">
        <v>100</v>
      </c>
      <c r="C459" s="1" t="s">
        <v>11</v>
      </c>
      <c r="D459" s="1">
        <v>44</v>
      </c>
      <c r="E459" s="2">
        <v>98.35</v>
      </c>
      <c r="F459" s="2">
        <v>38.83</v>
      </c>
      <c r="G459" s="2">
        <v>532.92999999999995</v>
      </c>
      <c r="H459">
        <f t="shared" si="7"/>
        <v>4327.3999999999996</v>
      </c>
    </row>
    <row r="460" spans="1:8" x14ac:dyDescent="0.35">
      <c r="A460" s="1" t="s">
        <v>12</v>
      </c>
      <c r="B460" s="1" t="s">
        <v>113</v>
      </c>
      <c r="C460" s="1" t="s">
        <v>11</v>
      </c>
      <c r="D460" s="1">
        <v>2</v>
      </c>
      <c r="E460" s="2">
        <v>75.52</v>
      </c>
      <c r="F460" s="2">
        <v>56.07</v>
      </c>
      <c r="G460" s="2">
        <v>94.96</v>
      </c>
      <c r="H460">
        <f t="shared" si="7"/>
        <v>151.04</v>
      </c>
    </row>
    <row r="461" spans="1:8" x14ac:dyDescent="0.35">
      <c r="A461" s="1" t="s">
        <v>12</v>
      </c>
      <c r="B461" s="1" t="s">
        <v>106</v>
      </c>
      <c r="C461" s="1" t="s">
        <v>11</v>
      </c>
      <c r="D461" s="1">
        <v>15</v>
      </c>
      <c r="E461" s="2">
        <v>66.48</v>
      </c>
      <c r="F461" s="2">
        <v>37.17</v>
      </c>
      <c r="G461" s="2">
        <v>387</v>
      </c>
      <c r="H461">
        <f t="shared" si="7"/>
        <v>997.2</v>
      </c>
    </row>
    <row r="462" spans="1:8" x14ac:dyDescent="0.35">
      <c r="A462" s="1" t="s">
        <v>12</v>
      </c>
      <c r="B462" s="1" t="s">
        <v>102</v>
      </c>
      <c r="C462" s="1" t="s">
        <v>11</v>
      </c>
      <c r="D462" s="1">
        <v>1</v>
      </c>
      <c r="E462" s="2">
        <v>66.37</v>
      </c>
      <c r="F462" s="2">
        <v>66.37</v>
      </c>
      <c r="G462" s="2">
        <v>66.37</v>
      </c>
      <c r="H462">
        <f t="shared" si="7"/>
        <v>66.37</v>
      </c>
    </row>
    <row r="463" spans="1:8" x14ac:dyDescent="0.35">
      <c r="A463" s="1" t="s">
        <v>12</v>
      </c>
      <c r="B463" s="1" t="s">
        <v>90</v>
      </c>
      <c r="C463" s="1" t="s">
        <v>11</v>
      </c>
      <c r="D463" s="1">
        <v>6</v>
      </c>
      <c r="E463" s="2">
        <v>56.31</v>
      </c>
      <c r="F463" s="2">
        <v>45.37</v>
      </c>
      <c r="G463" s="2">
        <v>82.3</v>
      </c>
      <c r="H463">
        <f t="shared" si="7"/>
        <v>337.86</v>
      </c>
    </row>
    <row r="464" spans="1:8" x14ac:dyDescent="0.35">
      <c r="A464" s="1" t="s">
        <v>14</v>
      </c>
      <c r="B464" s="1" t="s">
        <v>144</v>
      </c>
      <c r="C464" s="1" t="s">
        <v>11</v>
      </c>
      <c r="D464" s="1">
        <v>1</v>
      </c>
      <c r="E464" s="2">
        <v>500.83</v>
      </c>
      <c r="F464" s="2">
        <v>500.83</v>
      </c>
      <c r="G464" s="2">
        <v>500.83</v>
      </c>
      <c r="H464">
        <f t="shared" si="7"/>
        <v>500.83</v>
      </c>
    </row>
    <row r="465" spans="1:8" x14ac:dyDescent="0.35">
      <c r="A465" s="1" t="s">
        <v>14</v>
      </c>
      <c r="B465" s="1" t="s">
        <v>130</v>
      </c>
      <c r="C465" s="1" t="s">
        <v>11</v>
      </c>
      <c r="D465" s="1">
        <v>1</v>
      </c>
      <c r="E465" s="2">
        <v>132.41</v>
      </c>
      <c r="F465" s="2">
        <v>132.41</v>
      </c>
      <c r="G465" s="2">
        <v>132.41</v>
      </c>
      <c r="H465">
        <f t="shared" si="7"/>
        <v>132.41</v>
      </c>
    </row>
    <row r="466" spans="1:8" x14ac:dyDescent="0.35">
      <c r="A466" s="1" t="s">
        <v>14</v>
      </c>
      <c r="B466" s="1" t="s">
        <v>154</v>
      </c>
      <c r="C466" s="1" t="s">
        <v>11</v>
      </c>
      <c r="D466" s="1">
        <v>11</v>
      </c>
      <c r="E466" s="2">
        <v>124.62</v>
      </c>
      <c r="F466" s="2">
        <v>1</v>
      </c>
      <c r="G466" s="2">
        <v>774.33</v>
      </c>
      <c r="H466">
        <f t="shared" si="7"/>
        <v>1370.8200000000002</v>
      </c>
    </row>
    <row r="467" spans="1:8" x14ac:dyDescent="0.35">
      <c r="A467" s="1" t="s">
        <v>14</v>
      </c>
      <c r="B467" s="1" t="s">
        <v>155</v>
      </c>
      <c r="C467" s="1" t="s">
        <v>11</v>
      </c>
      <c r="D467" s="1">
        <v>8</v>
      </c>
      <c r="E467" s="2">
        <v>102.99</v>
      </c>
      <c r="F467" s="2">
        <v>41.43</v>
      </c>
      <c r="G467" s="2">
        <v>433.75</v>
      </c>
      <c r="H467">
        <f t="shared" si="7"/>
        <v>823.92</v>
      </c>
    </row>
    <row r="468" spans="1:8" x14ac:dyDescent="0.35">
      <c r="A468" s="1" t="s">
        <v>14</v>
      </c>
      <c r="B468" s="1" t="s">
        <v>132</v>
      </c>
      <c r="C468" s="1" t="s">
        <v>11</v>
      </c>
      <c r="D468" s="1">
        <v>1</v>
      </c>
      <c r="E468" s="2">
        <v>102.11</v>
      </c>
      <c r="F468" s="2">
        <v>102.11</v>
      </c>
      <c r="G468" s="2">
        <v>102.11</v>
      </c>
      <c r="H468">
        <f t="shared" si="7"/>
        <v>102.11</v>
      </c>
    </row>
    <row r="469" spans="1:8" x14ac:dyDescent="0.35">
      <c r="A469" s="1" t="s">
        <v>14</v>
      </c>
      <c r="B469" s="1" t="s">
        <v>157</v>
      </c>
      <c r="C469" s="1" t="s">
        <v>11</v>
      </c>
      <c r="D469" s="1">
        <v>1</v>
      </c>
      <c r="E469" s="2">
        <v>100</v>
      </c>
      <c r="F469" s="2">
        <v>100</v>
      </c>
      <c r="G469" s="2">
        <v>100</v>
      </c>
      <c r="H469">
        <f t="shared" si="7"/>
        <v>100</v>
      </c>
    </row>
    <row r="470" spans="1:8" x14ac:dyDescent="0.35">
      <c r="A470" s="1" t="s">
        <v>14</v>
      </c>
      <c r="B470" s="1" t="s">
        <v>142</v>
      </c>
      <c r="C470" s="1" t="s">
        <v>11</v>
      </c>
      <c r="D470" s="1">
        <v>3</v>
      </c>
      <c r="E470" s="2">
        <v>91.66</v>
      </c>
      <c r="F470" s="2">
        <v>62.47</v>
      </c>
      <c r="G470" s="2">
        <v>124.53</v>
      </c>
      <c r="H470">
        <f t="shared" si="7"/>
        <v>274.98</v>
      </c>
    </row>
    <row r="471" spans="1:8" x14ac:dyDescent="0.35">
      <c r="A471" s="1" t="s">
        <v>14</v>
      </c>
      <c r="B471" s="1" t="s">
        <v>146</v>
      </c>
      <c r="C471" s="1" t="s">
        <v>11</v>
      </c>
      <c r="D471" s="1">
        <v>2</v>
      </c>
      <c r="E471" s="2">
        <v>90.18</v>
      </c>
      <c r="F471" s="2">
        <v>66.78</v>
      </c>
      <c r="G471" s="2">
        <v>113.57</v>
      </c>
      <c r="H471">
        <f t="shared" si="7"/>
        <v>180.36</v>
      </c>
    </row>
    <row r="472" spans="1:8" x14ac:dyDescent="0.35">
      <c r="A472" s="1" t="s">
        <v>14</v>
      </c>
      <c r="B472" s="1" t="s">
        <v>143</v>
      </c>
      <c r="C472" s="1" t="s">
        <v>11</v>
      </c>
      <c r="D472" s="1">
        <v>1</v>
      </c>
      <c r="E472" s="2">
        <v>75.599999999999994</v>
      </c>
      <c r="F472" s="2">
        <v>75.599999999999994</v>
      </c>
      <c r="G472" s="2">
        <v>75.599999999999994</v>
      </c>
      <c r="H472">
        <f t="shared" si="7"/>
        <v>75.599999999999994</v>
      </c>
    </row>
    <row r="473" spans="1:8" x14ac:dyDescent="0.35">
      <c r="A473" s="1" t="s">
        <v>14</v>
      </c>
      <c r="B473" s="1" t="s">
        <v>141</v>
      </c>
      <c r="C473" s="1" t="s">
        <v>11</v>
      </c>
      <c r="D473" s="1">
        <v>3</v>
      </c>
      <c r="E473" s="2">
        <v>64.59</v>
      </c>
      <c r="F473" s="2">
        <v>39.83</v>
      </c>
      <c r="G473" s="2">
        <v>114.12</v>
      </c>
      <c r="H473">
        <f t="shared" si="7"/>
        <v>193.77</v>
      </c>
    </row>
    <row r="474" spans="1:8" x14ac:dyDescent="0.35">
      <c r="A474" s="1" t="s">
        <v>14</v>
      </c>
      <c r="B474" s="1" t="s">
        <v>151</v>
      </c>
      <c r="C474" s="1" t="s">
        <v>11</v>
      </c>
      <c r="D474" s="1">
        <v>16</v>
      </c>
      <c r="E474" s="2">
        <v>61.63</v>
      </c>
      <c r="F474" s="2">
        <v>27.91</v>
      </c>
      <c r="G474" s="2">
        <v>373.15</v>
      </c>
      <c r="H474">
        <f t="shared" si="7"/>
        <v>986.08</v>
      </c>
    </row>
    <row r="475" spans="1:8" x14ac:dyDescent="0.35">
      <c r="A475" s="1" t="s">
        <v>14</v>
      </c>
      <c r="B475" s="1" t="s">
        <v>152</v>
      </c>
      <c r="C475" s="1" t="s">
        <v>11</v>
      </c>
      <c r="D475" s="1">
        <v>1</v>
      </c>
      <c r="E475" s="2">
        <v>27.13</v>
      </c>
      <c r="F475" s="2">
        <v>27.13</v>
      </c>
      <c r="G475" s="2">
        <v>27.13</v>
      </c>
      <c r="H475">
        <f t="shared" si="7"/>
        <v>27.13</v>
      </c>
    </row>
    <row r="476" spans="1:8" x14ac:dyDescent="0.35">
      <c r="A476" s="1" t="s">
        <v>14</v>
      </c>
      <c r="B476" s="1" t="s">
        <v>137</v>
      </c>
      <c r="C476" s="1" t="s">
        <v>11</v>
      </c>
      <c r="D476" s="1">
        <v>1</v>
      </c>
      <c r="E476" s="2">
        <v>2</v>
      </c>
      <c r="F476" s="2">
        <v>2</v>
      </c>
      <c r="G476" s="2">
        <v>2</v>
      </c>
      <c r="H476">
        <f t="shared" si="7"/>
        <v>2</v>
      </c>
    </row>
    <row r="477" spans="1:8" x14ac:dyDescent="0.35">
      <c r="A477" s="1" t="s">
        <v>14</v>
      </c>
      <c r="B477" s="1" t="s">
        <v>149</v>
      </c>
      <c r="C477" s="1" t="s">
        <v>11</v>
      </c>
      <c r="D477" s="1">
        <v>1</v>
      </c>
      <c r="E477" s="2">
        <v>1</v>
      </c>
      <c r="F477" s="2">
        <v>1</v>
      </c>
      <c r="G477" s="2">
        <v>1</v>
      </c>
      <c r="H477">
        <f t="shared" si="7"/>
        <v>1</v>
      </c>
    </row>
    <row r="478" spans="1:8" x14ac:dyDescent="0.35">
      <c r="A478" s="1" t="s">
        <v>15</v>
      </c>
      <c r="B478" s="1" t="s">
        <v>195</v>
      </c>
      <c r="C478" s="1" t="s">
        <v>11</v>
      </c>
      <c r="D478" s="1">
        <v>1</v>
      </c>
      <c r="E478" s="2">
        <v>742</v>
      </c>
      <c r="F478" s="2">
        <v>742</v>
      </c>
      <c r="G478" s="2">
        <v>742</v>
      </c>
      <c r="H478">
        <f t="shared" si="7"/>
        <v>742</v>
      </c>
    </row>
    <row r="479" spans="1:8" x14ac:dyDescent="0.35">
      <c r="A479" s="1" t="s">
        <v>15</v>
      </c>
      <c r="B479" s="1" t="s">
        <v>164</v>
      </c>
      <c r="C479" s="1" t="s">
        <v>11</v>
      </c>
      <c r="D479" s="1">
        <v>1</v>
      </c>
      <c r="E479" s="2">
        <v>561.57000000000005</v>
      </c>
      <c r="F479" s="2">
        <v>561.57000000000005</v>
      </c>
      <c r="G479" s="2">
        <v>561.57000000000005</v>
      </c>
      <c r="H479">
        <f t="shared" si="7"/>
        <v>561.57000000000005</v>
      </c>
    </row>
    <row r="480" spans="1:8" x14ac:dyDescent="0.35">
      <c r="A480" s="1" t="s">
        <v>15</v>
      </c>
      <c r="B480" s="1" t="s">
        <v>168</v>
      </c>
      <c r="C480" s="1" t="s">
        <v>11</v>
      </c>
      <c r="D480" s="1">
        <v>3</v>
      </c>
      <c r="E480" s="2">
        <v>458.67</v>
      </c>
      <c r="F480" s="2">
        <v>409</v>
      </c>
      <c r="G480" s="2">
        <v>489</v>
      </c>
      <c r="H480">
        <f t="shared" si="7"/>
        <v>1376.01</v>
      </c>
    </row>
    <row r="481" spans="1:8" x14ac:dyDescent="0.35">
      <c r="A481" s="1" t="s">
        <v>15</v>
      </c>
      <c r="B481" s="1" t="s">
        <v>204</v>
      </c>
      <c r="C481" s="1" t="s">
        <v>11</v>
      </c>
      <c r="D481" s="1">
        <v>1</v>
      </c>
      <c r="E481" s="2">
        <v>442.47</v>
      </c>
      <c r="F481" s="2">
        <v>442.47</v>
      </c>
      <c r="G481" s="2">
        <v>442.47</v>
      </c>
      <c r="H481">
        <f t="shared" si="7"/>
        <v>442.47</v>
      </c>
    </row>
    <row r="482" spans="1:8" x14ac:dyDescent="0.35">
      <c r="A482" s="1" t="s">
        <v>15</v>
      </c>
      <c r="B482" s="1" t="s">
        <v>172</v>
      </c>
      <c r="C482" s="1" t="s">
        <v>11</v>
      </c>
      <c r="D482" s="1">
        <v>1</v>
      </c>
      <c r="E482" s="2">
        <v>265.48</v>
      </c>
      <c r="F482" s="2">
        <v>265.48</v>
      </c>
      <c r="G482" s="2">
        <v>265.48</v>
      </c>
      <c r="H482">
        <f t="shared" si="7"/>
        <v>265.48</v>
      </c>
    </row>
    <row r="483" spans="1:8" x14ac:dyDescent="0.35">
      <c r="A483" s="1" t="s">
        <v>15</v>
      </c>
      <c r="B483" s="1" t="s">
        <v>179</v>
      </c>
      <c r="C483" s="1" t="s">
        <v>11</v>
      </c>
      <c r="D483" s="1">
        <v>1</v>
      </c>
      <c r="E483" s="2">
        <v>216.81</v>
      </c>
      <c r="F483" s="2">
        <v>216.81</v>
      </c>
      <c r="G483" s="2">
        <v>216.81</v>
      </c>
      <c r="H483">
        <f t="shared" si="7"/>
        <v>216.81</v>
      </c>
    </row>
    <row r="484" spans="1:8" x14ac:dyDescent="0.35">
      <c r="A484" s="1" t="s">
        <v>15</v>
      </c>
      <c r="B484" s="1" t="s">
        <v>202</v>
      </c>
      <c r="C484" s="1" t="s">
        <v>11</v>
      </c>
      <c r="D484" s="1">
        <v>1</v>
      </c>
      <c r="E484" s="2">
        <v>172.7</v>
      </c>
      <c r="F484" s="2">
        <v>172.7</v>
      </c>
      <c r="G484" s="2">
        <v>172.7</v>
      </c>
      <c r="H484">
        <f t="shared" si="7"/>
        <v>172.7</v>
      </c>
    </row>
    <row r="485" spans="1:8" x14ac:dyDescent="0.35">
      <c r="A485" s="1" t="s">
        <v>15</v>
      </c>
      <c r="B485" s="1" t="s">
        <v>201</v>
      </c>
      <c r="C485" s="1" t="s">
        <v>11</v>
      </c>
      <c r="D485" s="1">
        <v>1</v>
      </c>
      <c r="E485" s="2">
        <v>154.86000000000001</v>
      </c>
      <c r="F485" s="2">
        <v>154.86000000000001</v>
      </c>
      <c r="G485" s="2">
        <v>154.86000000000001</v>
      </c>
      <c r="H485">
        <f t="shared" si="7"/>
        <v>154.86000000000001</v>
      </c>
    </row>
    <row r="486" spans="1:8" x14ac:dyDescent="0.35">
      <c r="A486" s="1" t="s">
        <v>15</v>
      </c>
      <c r="B486" s="1" t="s">
        <v>181</v>
      </c>
      <c r="C486" s="1" t="s">
        <v>11</v>
      </c>
      <c r="D486" s="1">
        <v>3</v>
      </c>
      <c r="E486" s="2">
        <v>147.84</v>
      </c>
      <c r="F486" s="2">
        <v>41.3</v>
      </c>
      <c r="G486" s="2">
        <v>275</v>
      </c>
      <c r="H486">
        <f t="shared" si="7"/>
        <v>443.52</v>
      </c>
    </row>
    <row r="487" spans="1:8" x14ac:dyDescent="0.35">
      <c r="A487" s="1" t="s">
        <v>15</v>
      </c>
      <c r="B487" s="1" t="s">
        <v>183</v>
      </c>
      <c r="C487" s="1" t="s">
        <v>11</v>
      </c>
      <c r="D487" s="1">
        <v>1</v>
      </c>
      <c r="E487" s="2">
        <v>147</v>
      </c>
      <c r="F487" s="2">
        <v>147</v>
      </c>
      <c r="G487" s="2">
        <v>147</v>
      </c>
      <c r="H487">
        <f t="shared" si="7"/>
        <v>147</v>
      </c>
    </row>
    <row r="488" spans="1:8" x14ac:dyDescent="0.35">
      <c r="A488" s="1" t="s">
        <v>15</v>
      </c>
      <c r="B488" s="1" t="s">
        <v>207</v>
      </c>
      <c r="C488" s="1" t="s">
        <v>11</v>
      </c>
      <c r="D488" s="1">
        <v>1</v>
      </c>
      <c r="E488" s="2">
        <v>131.66999999999999</v>
      </c>
      <c r="F488" s="2">
        <v>131.66999999999999</v>
      </c>
      <c r="G488" s="2">
        <v>131.66999999999999</v>
      </c>
      <c r="H488">
        <f t="shared" si="7"/>
        <v>131.66999999999999</v>
      </c>
    </row>
    <row r="489" spans="1:8" x14ac:dyDescent="0.35">
      <c r="A489" s="1" t="s">
        <v>15</v>
      </c>
      <c r="B489" s="1" t="s">
        <v>182</v>
      </c>
      <c r="C489" s="1" t="s">
        <v>11</v>
      </c>
      <c r="D489" s="1">
        <v>12</v>
      </c>
      <c r="E489" s="2">
        <v>125.06</v>
      </c>
      <c r="F489" s="2">
        <v>17.670000000000002</v>
      </c>
      <c r="G489" s="2">
        <v>646.77</v>
      </c>
      <c r="H489">
        <f t="shared" si="7"/>
        <v>1500.72</v>
      </c>
    </row>
    <row r="490" spans="1:8" x14ac:dyDescent="0.35">
      <c r="A490" s="1" t="s">
        <v>15</v>
      </c>
      <c r="B490" s="1" t="s">
        <v>163</v>
      </c>
      <c r="C490" s="1" t="s">
        <v>11</v>
      </c>
      <c r="D490" s="1">
        <v>1</v>
      </c>
      <c r="E490" s="2">
        <v>110.64</v>
      </c>
      <c r="F490" s="2">
        <v>110.64</v>
      </c>
      <c r="G490" s="2">
        <v>110.64</v>
      </c>
      <c r="H490">
        <f t="shared" si="7"/>
        <v>110.64</v>
      </c>
    </row>
    <row r="491" spans="1:8" x14ac:dyDescent="0.35">
      <c r="A491" s="1" t="s">
        <v>15</v>
      </c>
      <c r="B491" s="1" t="s">
        <v>180</v>
      </c>
      <c r="C491" s="1" t="s">
        <v>11</v>
      </c>
      <c r="D491" s="1">
        <v>1</v>
      </c>
      <c r="E491" s="2">
        <v>107.37</v>
      </c>
      <c r="F491" s="2">
        <v>107.37</v>
      </c>
      <c r="G491" s="2">
        <v>107.37</v>
      </c>
      <c r="H491">
        <f t="shared" si="7"/>
        <v>107.37</v>
      </c>
    </row>
    <row r="492" spans="1:8" x14ac:dyDescent="0.35">
      <c r="A492" s="1" t="s">
        <v>15</v>
      </c>
      <c r="B492" s="1" t="s">
        <v>189</v>
      </c>
      <c r="C492" s="1" t="s">
        <v>11</v>
      </c>
      <c r="D492" s="1">
        <v>1</v>
      </c>
      <c r="E492" s="2">
        <v>94.03</v>
      </c>
      <c r="F492" s="2">
        <v>94.03</v>
      </c>
      <c r="G492" s="2">
        <v>94.03</v>
      </c>
      <c r="H492">
        <f t="shared" si="7"/>
        <v>94.03</v>
      </c>
    </row>
    <row r="493" spans="1:8" x14ac:dyDescent="0.35">
      <c r="A493" s="1" t="s">
        <v>15</v>
      </c>
      <c r="B493" s="1" t="s">
        <v>185</v>
      </c>
      <c r="C493" s="1" t="s">
        <v>11</v>
      </c>
      <c r="D493" s="1">
        <v>1</v>
      </c>
      <c r="E493" s="2">
        <v>92.43</v>
      </c>
      <c r="F493" s="2">
        <v>92.43</v>
      </c>
      <c r="G493" s="2">
        <v>92.43</v>
      </c>
      <c r="H493">
        <f t="shared" si="7"/>
        <v>92.43</v>
      </c>
    </row>
    <row r="494" spans="1:8" x14ac:dyDescent="0.35">
      <c r="A494" s="1" t="s">
        <v>15</v>
      </c>
      <c r="B494" s="1" t="s">
        <v>200</v>
      </c>
      <c r="C494" s="1" t="s">
        <v>11</v>
      </c>
      <c r="D494" s="1">
        <v>1</v>
      </c>
      <c r="E494" s="2">
        <v>79.150000000000006</v>
      </c>
      <c r="F494" s="2">
        <v>79.150000000000006</v>
      </c>
      <c r="G494" s="2">
        <v>79.150000000000006</v>
      </c>
      <c r="H494">
        <f t="shared" si="7"/>
        <v>79.150000000000006</v>
      </c>
    </row>
    <row r="495" spans="1:8" x14ac:dyDescent="0.35">
      <c r="A495" s="1" t="s">
        <v>15</v>
      </c>
      <c r="B495" s="1" t="s">
        <v>177</v>
      </c>
      <c r="C495" s="1" t="s">
        <v>11</v>
      </c>
      <c r="D495" s="1">
        <v>1</v>
      </c>
      <c r="E495" s="2">
        <v>55.33</v>
      </c>
      <c r="F495" s="2">
        <v>55.33</v>
      </c>
      <c r="G495" s="2">
        <v>55.33</v>
      </c>
      <c r="H495">
        <f t="shared" si="7"/>
        <v>55.33</v>
      </c>
    </row>
    <row r="496" spans="1:8" x14ac:dyDescent="0.35">
      <c r="A496" s="1" t="s">
        <v>15</v>
      </c>
      <c r="B496" s="1" t="s">
        <v>192</v>
      </c>
      <c r="C496" s="1" t="s">
        <v>11</v>
      </c>
      <c r="D496" s="1">
        <v>2</v>
      </c>
      <c r="E496" s="2">
        <v>53.52</v>
      </c>
      <c r="F496" s="2">
        <v>45.57</v>
      </c>
      <c r="G496" s="2">
        <v>61.47</v>
      </c>
      <c r="H496">
        <f t="shared" si="7"/>
        <v>107.04</v>
      </c>
    </row>
    <row r="497" spans="1:8" x14ac:dyDescent="0.35">
      <c r="A497" s="1" t="s">
        <v>15</v>
      </c>
      <c r="B497" s="1" t="s">
        <v>190</v>
      </c>
      <c r="C497" s="1" t="s">
        <v>11</v>
      </c>
      <c r="D497" s="1">
        <v>5</v>
      </c>
      <c r="E497" s="2">
        <v>48.26</v>
      </c>
      <c r="F497" s="2">
        <v>33.299999999999997</v>
      </c>
      <c r="G497" s="2">
        <v>105.6</v>
      </c>
      <c r="H497">
        <f t="shared" si="7"/>
        <v>241.29999999999998</v>
      </c>
    </row>
    <row r="498" spans="1:8" x14ac:dyDescent="0.35">
      <c r="A498" s="1" t="s">
        <v>15</v>
      </c>
      <c r="B498" s="1" t="s">
        <v>171</v>
      </c>
      <c r="C498" s="1" t="s">
        <v>11</v>
      </c>
      <c r="D498" s="1">
        <v>1</v>
      </c>
      <c r="E498" s="2">
        <v>42.48</v>
      </c>
      <c r="F498" s="2">
        <v>42.48</v>
      </c>
      <c r="G498" s="2">
        <v>42.48</v>
      </c>
      <c r="H498">
        <f t="shared" si="7"/>
        <v>42.48</v>
      </c>
    </row>
    <row r="499" spans="1:8" x14ac:dyDescent="0.35">
      <c r="A499" s="1" t="s">
        <v>15</v>
      </c>
      <c r="B499" s="1" t="s">
        <v>187</v>
      </c>
      <c r="C499" s="1" t="s">
        <v>11</v>
      </c>
      <c r="D499" s="1">
        <v>1</v>
      </c>
      <c r="E499" s="2">
        <v>42.33</v>
      </c>
      <c r="F499" s="2">
        <v>42.33</v>
      </c>
      <c r="G499" s="2">
        <v>42.33</v>
      </c>
      <c r="H499">
        <f t="shared" si="7"/>
        <v>42.33</v>
      </c>
    </row>
    <row r="500" spans="1:8" x14ac:dyDescent="0.35">
      <c r="A500" s="1" t="s">
        <v>16</v>
      </c>
      <c r="B500" s="1" t="s">
        <v>231</v>
      </c>
      <c r="C500" s="1" t="s">
        <v>11</v>
      </c>
      <c r="D500" s="1">
        <v>1</v>
      </c>
      <c r="E500" s="2">
        <v>208.15</v>
      </c>
      <c r="F500" s="2">
        <v>208.15</v>
      </c>
      <c r="G500" s="2">
        <v>208.15</v>
      </c>
      <c r="H500">
        <f t="shared" si="7"/>
        <v>208.15</v>
      </c>
    </row>
    <row r="501" spans="1:8" x14ac:dyDescent="0.35">
      <c r="A501" s="1" t="s">
        <v>16</v>
      </c>
      <c r="B501" s="1" t="s">
        <v>233</v>
      </c>
      <c r="C501" s="1" t="s">
        <v>11</v>
      </c>
      <c r="D501" s="1">
        <v>1</v>
      </c>
      <c r="E501" s="2">
        <v>94.3</v>
      </c>
      <c r="F501" s="2">
        <v>94.3</v>
      </c>
      <c r="G501" s="2">
        <v>94.3</v>
      </c>
      <c r="H501">
        <f t="shared" si="7"/>
        <v>94.3</v>
      </c>
    </row>
    <row r="502" spans="1:8" x14ac:dyDescent="0.35">
      <c r="A502" s="1" t="s">
        <v>16</v>
      </c>
      <c r="B502" s="1" t="s">
        <v>237</v>
      </c>
      <c r="C502" s="1" t="s">
        <v>11</v>
      </c>
      <c r="D502" s="1">
        <v>1</v>
      </c>
      <c r="E502" s="2">
        <v>91.29</v>
      </c>
      <c r="F502" s="2">
        <v>91.29</v>
      </c>
      <c r="G502" s="2">
        <v>91.29</v>
      </c>
      <c r="H502">
        <f t="shared" si="7"/>
        <v>91.29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pane ySplit="2" topLeftCell="A3" activePane="bottomLeft" state="frozen"/>
      <selection pane="bottomLeft" activeCell="F31" sqref="F31"/>
    </sheetView>
  </sheetViews>
  <sheetFormatPr defaultRowHeight="14.5" x14ac:dyDescent="0.35"/>
  <cols>
    <col min="1" max="1" width="18.26953125" customWidth="1"/>
    <col min="2" max="2" width="15.26953125" customWidth="1"/>
    <col min="3" max="3" width="9.26953125" customWidth="1"/>
    <col min="4" max="4" width="10.7265625" customWidth="1"/>
    <col min="5" max="6" width="12" customWidth="1"/>
  </cols>
  <sheetData>
    <row r="1" spans="1:6" ht="30" customHeight="1" x14ac:dyDescent="0.35">
      <c r="A1" s="3" t="s">
        <v>252</v>
      </c>
      <c r="B1" s="4"/>
      <c r="C1" s="4"/>
      <c r="D1" s="4"/>
      <c r="E1" s="4"/>
      <c r="F1" s="4"/>
    </row>
    <row r="2" spans="1:6" s="5" customFormat="1" x14ac:dyDescent="0.35">
      <c r="A2" s="6" t="s">
        <v>2</v>
      </c>
      <c r="B2" s="6" t="s">
        <v>253</v>
      </c>
      <c r="C2" s="6" t="s">
        <v>26</v>
      </c>
      <c r="D2" s="6" t="s">
        <v>27</v>
      </c>
      <c r="E2" s="6" t="s">
        <v>28</v>
      </c>
      <c r="F2" s="6" t="s">
        <v>29</v>
      </c>
    </row>
    <row r="3" spans="1:6" x14ac:dyDescent="0.35">
      <c r="A3" s="1" t="s">
        <v>10</v>
      </c>
      <c r="B3" s="1" t="s">
        <v>254</v>
      </c>
      <c r="C3" s="1">
        <v>7973</v>
      </c>
      <c r="D3" s="2">
        <v>261.02</v>
      </c>
      <c r="E3" s="2">
        <v>1</v>
      </c>
      <c r="F3" s="2">
        <v>998.01</v>
      </c>
    </row>
    <row r="4" spans="1:6" x14ac:dyDescent="0.35">
      <c r="A4" s="1" t="s">
        <v>10</v>
      </c>
      <c r="B4" s="1" t="s">
        <v>255</v>
      </c>
      <c r="C4" s="1">
        <v>3564</v>
      </c>
      <c r="D4" s="2">
        <v>258.98</v>
      </c>
      <c r="E4" s="2">
        <v>1</v>
      </c>
      <c r="F4" s="2">
        <v>999.69</v>
      </c>
    </row>
    <row r="5" spans="1:6" x14ac:dyDescent="0.35">
      <c r="A5" s="1" t="s">
        <v>13</v>
      </c>
      <c r="B5" s="1" t="s">
        <v>254</v>
      </c>
      <c r="C5" s="1">
        <v>478</v>
      </c>
      <c r="D5" s="2">
        <v>385.53</v>
      </c>
      <c r="E5" s="2">
        <v>1</v>
      </c>
      <c r="F5" s="2">
        <v>988.8</v>
      </c>
    </row>
    <row r="6" spans="1:6" x14ac:dyDescent="0.35">
      <c r="A6" s="1" t="s">
        <v>13</v>
      </c>
      <c r="B6" s="1" t="s">
        <v>255</v>
      </c>
      <c r="C6" s="1">
        <v>2</v>
      </c>
      <c r="D6" s="2">
        <v>324.62</v>
      </c>
      <c r="E6" s="2">
        <v>250</v>
      </c>
      <c r="F6" s="2">
        <v>399.23</v>
      </c>
    </row>
    <row r="7" spans="1:6" x14ac:dyDescent="0.35">
      <c r="A7" s="1" t="s">
        <v>9</v>
      </c>
      <c r="B7" s="1" t="s">
        <v>254</v>
      </c>
      <c r="C7" s="1">
        <v>6095</v>
      </c>
      <c r="D7" s="2">
        <v>143.91</v>
      </c>
      <c r="E7" s="2">
        <v>1</v>
      </c>
      <c r="F7" s="2">
        <v>997.07</v>
      </c>
    </row>
    <row r="8" spans="1:6" x14ac:dyDescent="0.35">
      <c r="A8" s="1" t="s">
        <v>9</v>
      </c>
      <c r="B8" s="1" t="s">
        <v>255</v>
      </c>
      <c r="C8" s="1">
        <v>2933</v>
      </c>
      <c r="D8" s="2">
        <v>159.81</v>
      </c>
      <c r="E8" s="2">
        <v>1</v>
      </c>
      <c r="F8" s="2">
        <v>999</v>
      </c>
    </row>
    <row r="9" spans="1:6" x14ac:dyDescent="0.35">
      <c r="A9" s="1" t="s">
        <v>11</v>
      </c>
      <c r="B9" s="1" t="s">
        <v>254</v>
      </c>
      <c r="C9" s="1">
        <v>142</v>
      </c>
      <c r="D9" s="2">
        <v>110.16</v>
      </c>
      <c r="E9" s="2">
        <v>1</v>
      </c>
      <c r="F9" s="2">
        <v>742</v>
      </c>
    </row>
    <row r="10" spans="1:6" x14ac:dyDescent="0.35">
      <c r="A10" s="1" t="s">
        <v>11</v>
      </c>
      <c r="B10" s="1" t="s">
        <v>255</v>
      </c>
      <c r="C10" s="1">
        <v>50</v>
      </c>
      <c r="D10" s="2">
        <v>158.77000000000001</v>
      </c>
      <c r="E10" s="2">
        <v>1</v>
      </c>
      <c r="F10" s="2">
        <v>774.33</v>
      </c>
    </row>
    <row r="14" spans="1:6" x14ac:dyDescent="0.35">
      <c r="A14" s="15" t="s">
        <v>301</v>
      </c>
      <c r="B14" s="15" t="s">
        <v>294</v>
      </c>
    </row>
    <row r="15" spans="1:6" x14ac:dyDescent="0.35">
      <c r="A15" s="15" t="s">
        <v>292</v>
      </c>
      <c r="B15" t="s">
        <v>254</v>
      </c>
      <c r="C15" t="s">
        <v>255</v>
      </c>
      <c r="D15" t="s">
        <v>293</v>
      </c>
    </row>
    <row r="16" spans="1:6" x14ac:dyDescent="0.35">
      <c r="A16" s="16" t="s">
        <v>10</v>
      </c>
      <c r="B16" s="17">
        <v>261.02</v>
      </c>
      <c r="C16" s="17">
        <v>258.98</v>
      </c>
      <c r="D16" s="17">
        <v>260</v>
      </c>
    </row>
    <row r="17" spans="1:4" x14ac:dyDescent="0.35">
      <c r="A17" s="16" t="s">
        <v>13</v>
      </c>
      <c r="B17" s="17">
        <v>385.53</v>
      </c>
      <c r="C17" s="17">
        <v>324.62</v>
      </c>
      <c r="D17" s="17">
        <v>355.07499999999999</v>
      </c>
    </row>
    <row r="18" spans="1:4" x14ac:dyDescent="0.35">
      <c r="A18" s="16" t="s">
        <v>9</v>
      </c>
      <c r="B18" s="17">
        <v>143.91</v>
      </c>
      <c r="C18" s="17">
        <v>159.81</v>
      </c>
      <c r="D18" s="17">
        <v>151.86000000000001</v>
      </c>
    </row>
    <row r="19" spans="1:4" x14ac:dyDescent="0.35">
      <c r="A19" s="16" t="s">
        <v>11</v>
      </c>
      <c r="B19" s="17">
        <v>110.16</v>
      </c>
      <c r="C19" s="17">
        <v>158.77000000000001</v>
      </c>
      <c r="D19" s="17">
        <v>134.465</v>
      </c>
    </row>
    <row r="20" spans="1:4" x14ac:dyDescent="0.35">
      <c r="A20" s="16" t="s">
        <v>293</v>
      </c>
      <c r="B20" s="17">
        <v>225.15499999999997</v>
      </c>
      <c r="C20" s="17">
        <v>225.54500000000002</v>
      </c>
      <c r="D20" s="17">
        <v>225.35000000000002</v>
      </c>
    </row>
  </sheetData>
  <mergeCells count="1">
    <mergeCell ref="A1:F1"/>
  </mergeCell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topLeftCell="F1" zoomScale="71" workbookViewId="0">
      <pane ySplit="2" topLeftCell="A12" activePane="bottomLeft" state="frozen"/>
      <selection pane="bottomLeft" activeCell="S14" sqref="S14"/>
    </sheetView>
  </sheetViews>
  <sheetFormatPr defaultRowHeight="14.5" x14ac:dyDescent="0.35"/>
  <cols>
    <col min="1" max="1" width="15" customWidth="1"/>
    <col min="2" max="2" width="13" customWidth="1"/>
    <col min="3" max="3" width="18" customWidth="1"/>
    <col min="4" max="4" width="16" customWidth="1"/>
    <col min="5" max="6" width="19" customWidth="1"/>
    <col min="9" max="9" width="24.6328125" bestFit="1" customWidth="1"/>
    <col min="10" max="10" width="16.7265625" bestFit="1" customWidth="1"/>
    <col min="11" max="11" width="12.08984375" bestFit="1" customWidth="1"/>
    <col min="12" max="12" width="12.36328125" bestFit="1" customWidth="1"/>
    <col min="13" max="13" width="12.26953125" bestFit="1" customWidth="1"/>
    <col min="14" max="14" width="12.08984375" bestFit="1" customWidth="1"/>
  </cols>
  <sheetData>
    <row r="1" spans="1:14" ht="30" customHeight="1" x14ac:dyDescent="0.35">
      <c r="A1" s="3" t="s">
        <v>256</v>
      </c>
      <c r="B1" s="4"/>
      <c r="C1" s="4"/>
      <c r="D1" s="4"/>
      <c r="E1" s="4"/>
      <c r="F1" s="4"/>
    </row>
    <row r="2" spans="1:14" s="5" customFormat="1" x14ac:dyDescent="0.35">
      <c r="A2" s="6" t="s">
        <v>257</v>
      </c>
      <c r="B2" s="6" t="s">
        <v>258</v>
      </c>
      <c r="C2" s="6" t="s">
        <v>2</v>
      </c>
      <c r="D2" s="6" t="s">
        <v>259</v>
      </c>
      <c r="E2" s="6" t="s">
        <v>260</v>
      </c>
      <c r="F2" s="6" t="s">
        <v>261</v>
      </c>
    </row>
    <row r="3" spans="1:14" x14ac:dyDescent="0.35">
      <c r="A3" s="1">
        <v>1</v>
      </c>
      <c r="B3" s="1" t="s">
        <v>262</v>
      </c>
      <c r="C3" s="1" t="s">
        <v>10</v>
      </c>
      <c r="D3" s="1">
        <v>357647</v>
      </c>
      <c r="E3" s="2">
        <v>77.42</v>
      </c>
      <c r="F3" s="2">
        <v>260.39</v>
      </c>
      <c r="I3" s="15" t="s">
        <v>302</v>
      </c>
      <c r="J3" s="15" t="s">
        <v>294</v>
      </c>
    </row>
    <row r="4" spans="1:14" x14ac:dyDescent="0.35">
      <c r="A4" s="1">
        <v>1</v>
      </c>
      <c r="B4" s="1" t="s">
        <v>262</v>
      </c>
      <c r="C4" s="1" t="s">
        <v>13</v>
      </c>
      <c r="D4" s="1">
        <v>14880</v>
      </c>
      <c r="E4" s="2">
        <v>85.29</v>
      </c>
      <c r="F4" s="2">
        <v>385.28</v>
      </c>
      <c r="I4" s="15" t="s">
        <v>292</v>
      </c>
      <c r="J4" t="s">
        <v>10</v>
      </c>
      <c r="K4" t="s">
        <v>13</v>
      </c>
      <c r="L4" t="s">
        <v>9</v>
      </c>
      <c r="M4" t="s">
        <v>11</v>
      </c>
      <c r="N4" t="s">
        <v>293</v>
      </c>
    </row>
    <row r="5" spans="1:14" x14ac:dyDescent="0.35">
      <c r="A5" s="1">
        <v>1</v>
      </c>
      <c r="B5" s="1" t="s">
        <v>262</v>
      </c>
      <c r="C5" s="1" t="s">
        <v>9</v>
      </c>
      <c r="D5" s="1">
        <v>288486</v>
      </c>
      <c r="E5" s="2">
        <v>70.56</v>
      </c>
      <c r="F5" s="2">
        <v>154.74</v>
      </c>
      <c r="I5" s="16" t="s">
        <v>262</v>
      </c>
      <c r="J5" s="17">
        <v>77.42</v>
      </c>
      <c r="K5" s="17">
        <v>85.29</v>
      </c>
      <c r="L5" s="17">
        <v>70.56</v>
      </c>
      <c r="M5" s="17">
        <v>78.930000000000007</v>
      </c>
      <c r="N5" s="17">
        <v>78.050000000000011</v>
      </c>
    </row>
    <row r="6" spans="1:14" x14ac:dyDescent="0.35">
      <c r="A6" s="1">
        <v>1</v>
      </c>
      <c r="B6" s="1" t="s">
        <v>262</v>
      </c>
      <c r="C6" s="1" t="s">
        <v>11</v>
      </c>
      <c r="D6" s="1">
        <v>5952</v>
      </c>
      <c r="E6" s="2">
        <v>78.930000000000007</v>
      </c>
      <c r="F6" s="2">
        <v>122.82</v>
      </c>
      <c r="I6" s="16" t="s">
        <v>263</v>
      </c>
      <c r="J6" s="17">
        <v>77.900000000000006</v>
      </c>
      <c r="K6" s="17">
        <v>85.79</v>
      </c>
      <c r="L6" s="17">
        <v>71.099999999999994</v>
      </c>
      <c r="M6" s="17">
        <v>79.17</v>
      </c>
      <c r="N6" s="17">
        <v>78.489999999999995</v>
      </c>
    </row>
    <row r="7" spans="1:14" x14ac:dyDescent="0.35">
      <c r="A7" s="1">
        <v>2</v>
      </c>
      <c r="B7" s="1" t="s">
        <v>263</v>
      </c>
      <c r="C7" s="1" t="s">
        <v>10</v>
      </c>
      <c r="D7" s="1">
        <v>323036</v>
      </c>
      <c r="E7" s="2">
        <v>77.900000000000006</v>
      </c>
      <c r="F7" s="2">
        <v>260.39</v>
      </c>
      <c r="I7" s="16" t="s">
        <v>264</v>
      </c>
      <c r="J7" s="17">
        <v>71.099999999999994</v>
      </c>
      <c r="K7" s="17">
        <v>84.1</v>
      </c>
      <c r="L7" s="17">
        <v>63</v>
      </c>
      <c r="M7" s="17">
        <v>76.5</v>
      </c>
      <c r="N7" s="17">
        <v>73.674999999999997</v>
      </c>
    </row>
    <row r="8" spans="1:14" x14ac:dyDescent="0.35">
      <c r="A8" s="1">
        <v>2</v>
      </c>
      <c r="B8" s="1" t="s">
        <v>263</v>
      </c>
      <c r="C8" s="1" t="s">
        <v>13</v>
      </c>
      <c r="D8" s="1">
        <v>13440</v>
      </c>
      <c r="E8" s="2">
        <v>85.79</v>
      </c>
      <c r="F8" s="2">
        <v>385.28</v>
      </c>
      <c r="I8" s="16" t="s">
        <v>265</v>
      </c>
      <c r="J8" s="17">
        <v>67.23</v>
      </c>
      <c r="K8" s="17">
        <v>73.34</v>
      </c>
      <c r="L8" s="17">
        <v>57.51</v>
      </c>
      <c r="M8" s="17">
        <v>75</v>
      </c>
      <c r="N8" s="17">
        <v>68.27</v>
      </c>
    </row>
    <row r="9" spans="1:14" x14ac:dyDescent="0.35">
      <c r="A9" s="1">
        <v>2</v>
      </c>
      <c r="B9" s="1" t="s">
        <v>263</v>
      </c>
      <c r="C9" s="1" t="s">
        <v>9</v>
      </c>
      <c r="D9" s="1">
        <v>260568</v>
      </c>
      <c r="E9" s="2">
        <v>71.099999999999994</v>
      </c>
      <c r="F9" s="2">
        <v>154.74</v>
      </c>
      <c r="I9" s="16" t="s">
        <v>266</v>
      </c>
      <c r="J9" s="17">
        <v>65.14</v>
      </c>
      <c r="K9" s="17">
        <v>69.27</v>
      </c>
      <c r="L9" s="17">
        <v>56.92</v>
      </c>
      <c r="M9" s="17">
        <v>75</v>
      </c>
      <c r="N9" s="17">
        <v>66.582499999999996</v>
      </c>
    </row>
    <row r="10" spans="1:14" x14ac:dyDescent="0.35">
      <c r="A10" s="1">
        <v>2</v>
      </c>
      <c r="B10" s="1" t="s">
        <v>263</v>
      </c>
      <c r="C10" s="1" t="s">
        <v>11</v>
      </c>
      <c r="D10" s="1">
        <v>5376</v>
      </c>
      <c r="E10" s="2">
        <v>79.17</v>
      </c>
      <c r="F10" s="2">
        <v>122.82</v>
      </c>
      <c r="I10" s="16" t="s">
        <v>267</v>
      </c>
      <c r="J10" s="17">
        <v>47.11</v>
      </c>
      <c r="K10" s="17">
        <v>59.1</v>
      </c>
      <c r="L10" s="17">
        <v>47.83</v>
      </c>
      <c r="M10" s="17">
        <v>56.15</v>
      </c>
      <c r="N10" s="17">
        <v>52.547500000000007</v>
      </c>
    </row>
    <row r="11" spans="1:14" x14ac:dyDescent="0.35">
      <c r="A11" s="1">
        <v>3</v>
      </c>
      <c r="B11" s="1" t="s">
        <v>264</v>
      </c>
      <c r="C11" s="1" t="s">
        <v>10</v>
      </c>
      <c r="D11" s="1">
        <v>357647</v>
      </c>
      <c r="E11" s="2">
        <v>71.099999999999994</v>
      </c>
      <c r="F11" s="2">
        <v>260.39</v>
      </c>
      <c r="I11" s="16" t="s">
        <v>268</v>
      </c>
      <c r="J11" s="17">
        <v>46.9</v>
      </c>
      <c r="K11" s="17">
        <v>74.08</v>
      </c>
      <c r="L11" s="17">
        <v>58.92</v>
      </c>
      <c r="M11" s="17">
        <v>58.3</v>
      </c>
      <c r="N11" s="17">
        <v>59.55</v>
      </c>
    </row>
    <row r="12" spans="1:14" x14ac:dyDescent="0.35">
      <c r="A12" s="1">
        <v>3</v>
      </c>
      <c r="B12" s="1" t="s">
        <v>264</v>
      </c>
      <c r="C12" s="1" t="s">
        <v>13</v>
      </c>
      <c r="D12" s="1">
        <v>14880</v>
      </c>
      <c r="E12" s="2">
        <v>84.1</v>
      </c>
      <c r="F12" s="2">
        <v>385.28</v>
      </c>
      <c r="I12" s="16" t="s">
        <v>269</v>
      </c>
      <c r="J12" s="17">
        <v>68.31</v>
      </c>
      <c r="K12" s="17">
        <v>84.29</v>
      </c>
      <c r="L12" s="17">
        <v>72.36</v>
      </c>
      <c r="M12" s="17">
        <v>79.819999999999993</v>
      </c>
      <c r="N12" s="17">
        <v>76.195000000000007</v>
      </c>
    </row>
    <row r="13" spans="1:14" x14ac:dyDescent="0.35">
      <c r="A13" s="1">
        <v>3</v>
      </c>
      <c r="B13" s="1" t="s">
        <v>264</v>
      </c>
      <c r="C13" s="1" t="s">
        <v>9</v>
      </c>
      <c r="D13" s="1">
        <v>288486</v>
      </c>
      <c r="E13" s="2">
        <v>63</v>
      </c>
      <c r="F13" s="2">
        <v>154.74</v>
      </c>
      <c r="I13" s="16" t="s">
        <v>270</v>
      </c>
      <c r="J13" s="17">
        <v>70.42</v>
      </c>
      <c r="K13" s="17">
        <v>80.89</v>
      </c>
      <c r="L13" s="17">
        <v>72.64</v>
      </c>
      <c r="M13" s="17">
        <v>80.17</v>
      </c>
      <c r="N13" s="17">
        <v>76.03</v>
      </c>
    </row>
    <row r="14" spans="1:14" x14ac:dyDescent="0.35">
      <c r="A14" s="1">
        <v>3</v>
      </c>
      <c r="B14" s="1" t="s">
        <v>264</v>
      </c>
      <c r="C14" s="1" t="s">
        <v>11</v>
      </c>
      <c r="D14" s="1">
        <v>5952</v>
      </c>
      <c r="E14" s="2">
        <v>76.5</v>
      </c>
      <c r="F14" s="2">
        <v>122.82</v>
      </c>
      <c r="I14" s="16" t="s">
        <v>271</v>
      </c>
      <c r="J14" s="17">
        <v>72.38</v>
      </c>
      <c r="K14" s="17">
        <v>84.42</v>
      </c>
      <c r="L14" s="17">
        <v>73.72</v>
      </c>
      <c r="M14" s="17">
        <v>78.900000000000006</v>
      </c>
      <c r="N14" s="17">
        <v>77.355000000000004</v>
      </c>
    </row>
    <row r="15" spans="1:14" x14ac:dyDescent="0.35">
      <c r="A15" s="1">
        <v>4</v>
      </c>
      <c r="B15" s="1" t="s">
        <v>265</v>
      </c>
      <c r="C15" s="1" t="s">
        <v>10</v>
      </c>
      <c r="D15" s="1">
        <v>346110</v>
      </c>
      <c r="E15" s="2">
        <v>67.23</v>
      </c>
      <c r="F15" s="2">
        <v>260.39</v>
      </c>
      <c r="I15" s="16" t="s">
        <v>272</v>
      </c>
      <c r="J15" s="17">
        <v>78</v>
      </c>
      <c r="K15" s="17">
        <v>90.05</v>
      </c>
      <c r="L15" s="17">
        <v>76.36</v>
      </c>
      <c r="M15" s="17">
        <v>81.91</v>
      </c>
      <c r="N15" s="17">
        <v>81.580000000000013</v>
      </c>
    </row>
    <row r="16" spans="1:14" x14ac:dyDescent="0.35">
      <c r="A16" s="1">
        <v>4</v>
      </c>
      <c r="B16" s="1" t="s">
        <v>265</v>
      </c>
      <c r="C16" s="1" t="s">
        <v>13</v>
      </c>
      <c r="D16" s="1">
        <v>14400</v>
      </c>
      <c r="E16" s="2">
        <v>73.34</v>
      </c>
      <c r="F16" s="2">
        <v>385.28</v>
      </c>
      <c r="I16" s="16" t="s">
        <v>273</v>
      </c>
      <c r="J16" s="17">
        <v>74.89</v>
      </c>
      <c r="K16" s="17">
        <v>86.94</v>
      </c>
      <c r="L16" s="17">
        <v>69.209999999999994</v>
      </c>
      <c r="M16" s="17"/>
      <c r="N16" s="17">
        <v>77.013333333333321</v>
      </c>
    </row>
    <row r="17" spans="1:14" x14ac:dyDescent="0.35">
      <c r="A17" s="1">
        <v>4</v>
      </c>
      <c r="B17" s="1" t="s">
        <v>265</v>
      </c>
      <c r="C17" s="1" t="s">
        <v>9</v>
      </c>
      <c r="D17" s="1">
        <v>279180</v>
      </c>
      <c r="E17" s="2">
        <v>57.51</v>
      </c>
      <c r="F17" s="2">
        <v>154.74</v>
      </c>
      <c r="I17" s="16" t="s">
        <v>293</v>
      </c>
      <c r="J17" s="17">
        <v>68.066666666666649</v>
      </c>
      <c r="K17" s="17">
        <v>79.796666666666667</v>
      </c>
      <c r="L17" s="17">
        <v>65.84416666666668</v>
      </c>
      <c r="M17" s="17">
        <v>74.531818181818167</v>
      </c>
      <c r="N17" s="17">
        <v>72.007234042553193</v>
      </c>
    </row>
    <row r="18" spans="1:14" x14ac:dyDescent="0.35">
      <c r="A18" s="1">
        <v>4</v>
      </c>
      <c r="B18" s="1" t="s">
        <v>265</v>
      </c>
      <c r="C18" s="1" t="s">
        <v>11</v>
      </c>
      <c r="D18" s="1">
        <v>5760</v>
      </c>
      <c r="E18" s="2">
        <v>75</v>
      </c>
      <c r="F18" s="2">
        <v>122.82</v>
      </c>
    </row>
    <row r="19" spans="1:14" x14ac:dyDescent="0.35">
      <c r="A19" s="1">
        <v>5</v>
      </c>
      <c r="B19" s="1" t="s">
        <v>266</v>
      </c>
      <c r="C19" s="1" t="s">
        <v>10</v>
      </c>
      <c r="D19" s="1">
        <v>357647</v>
      </c>
      <c r="E19" s="2">
        <v>65.14</v>
      </c>
      <c r="F19" s="2">
        <v>260.39</v>
      </c>
    </row>
    <row r="20" spans="1:14" x14ac:dyDescent="0.35">
      <c r="A20" s="1">
        <v>5</v>
      </c>
      <c r="B20" s="1" t="s">
        <v>266</v>
      </c>
      <c r="C20" s="1" t="s">
        <v>13</v>
      </c>
      <c r="D20" s="1">
        <v>14880</v>
      </c>
      <c r="E20" s="2">
        <v>69.27</v>
      </c>
      <c r="F20" s="2">
        <v>385.28</v>
      </c>
    </row>
    <row r="21" spans="1:14" x14ac:dyDescent="0.35">
      <c r="A21" s="1">
        <v>5</v>
      </c>
      <c r="B21" s="1" t="s">
        <v>266</v>
      </c>
      <c r="C21" s="1" t="s">
        <v>9</v>
      </c>
      <c r="D21" s="1">
        <v>288486</v>
      </c>
      <c r="E21" s="2">
        <v>56.92</v>
      </c>
      <c r="F21" s="2">
        <v>154.74</v>
      </c>
    </row>
    <row r="22" spans="1:14" x14ac:dyDescent="0.35">
      <c r="A22" s="1">
        <v>5</v>
      </c>
      <c r="B22" s="1" t="s">
        <v>266</v>
      </c>
      <c r="C22" s="1" t="s">
        <v>11</v>
      </c>
      <c r="D22" s="1">
        <v>5952</v>
      </c>
      <c r="E22" s="2">
        <v>75</v>
      </c>
      <c r="F22" s="2">
        <v>122.82</v>
      </c>
    </row>
    <row r="23" spans="1:14" x14ac:dyDescent="0.35">
      <c r="A23" s="1">
        <v>6</v>
      </c>
      <c r="B23" s="1" t="s">
        <v>267</v>
      </c>
      <c r="C23" s="1" t="s">
        <v>10</v>
      </c>
      <c r="D23" s="1">
        <v>346111</v>
      </c>
      <c r="E23" s="2">
        <v>47.11</v>
      </c>
      <c r="F23" s="2">
        <v>260.39</v>
      </c>
    </row>
    <row r="24" spans="1:14" x14ac:dyDescent="0.35">
      <c r="A24" s="1">
        <v>6</v>
      </c>
      <c r="B24" s="1" t="s">
        <v>267</v>
      </c>
      <c r="C24" s="1" t="s">
        <v>13</v>
      </c>
      <c r="D24" s="1">
        <v>14400</v>
      </c>
      <c r="E24" s="2">
        <v>59.1</v>
      </c>
      <c r="F24" s="2">
        <v>385.28</v>
      </c>
    </row>
    <row r="25" spans="1:14" x14ac:dyDescent="0.35">
      <c r="A25" s="1">
        <v>6</v>
      </c>
      <c r="B25" s="1" t="s">
        <v>267</v>
      </c>
      <c r="C25" s="1" t="s">
        <v>9</v>
      </c>
      <c r="D25" s="1">
        <v>279180</v>
      </c>
      <c r="E25" s="2">
        <v>47.83</v>
      </c>
      <c r="F25" s="2">
        <v>154.74</v>
      </c>
    </row>
    <row r="26" spans="1:14" x14ac:dyDescent="0.35">
      <c r="A26" s="1">
        <v>6</v>
      </c>
      <c r="B26" s="1" t="s">
        <v>267</v>
      </c>
      <c r="C26" s="1" t="s">
        <v>11</v>
      </c>
      <c r="D26" s="1">
        <v>5760</v>
      </c>
      <c r="E26" s="2">
        <v>56.15</v>
      </c>
      <c r="F26" s="2">
        <v>122.82</v>
      </c>
    </row>
    <row r="27" spans="1:14" x14ac:dyDescent="0.35">
      <c r="A27" s="1">
        <v>7</v>
      </c>
      <c r="B27" s="1" t="s">
        <v>268</v>
      </c>
      <c r="C27" s="1" t="s">
        <v>10</v>
      </c>
      <c r="D27" s="1">
        <v>357647</v>
      </c>
      <c r="E27" s="2">
        <v>46.9</v>
      </c>
      <c r="F27" s="2">
        <v>260.39</v>
      </c>
    </row>
    <row r="28" spans="1:14" x14ac:dyDescent="0.35">
      <c r="A28" s="1">
        <v>7</v>
      </c>
      <c r="B28" s="1" t="s">
        <v>268</v>
      </c>
      <c r="C28" s="1" t="s">
        <v>13</v>
      </c>
      <c r="D28" s="1">
        <v>14880</v>
      </c>
      <c r="E28" s="2">
        <v>74.08</v>
      </c>
      <c r="F28" s="2">
        <v>385.28</v>
      </c>
    </row>
    <row r="29" spans="1:14" x14ac:dyDescent="0.35">
      <c r="A29" s="1">
        <v>7</v>
      </c>
      <c r="B29" s="1" t="s">
        <v>268</v>
      </c>
      <c r="C29" s="1" t="s">
        <v>9</v>
      </c>
      <c r="D29" s="1">
        <v>288486</v>
      </c>
      <c r="E29" s="2">
        <v>58.92</v>
      </c>
      <c r="F29" s="2">
        <v>154.74</v>
      </c>
    </row>
    <row r="30" spans="1:14" x14ac:dyDescent="0.35">
      <c r="A30" s="1">
        <v>7</v>
      </c>
      <c r="B30" s="1" t="s">
        <v>268</v>
      </c>
      <c r="C30" s="1" t="s">
        <v>11</v>
      </c>
      <c r="D30" s="1">
        <v>5952</v>
      </c>
      <c r="E30" s="2">
        <v>58.3</v>
      </c>
      <c r="F30" s="2">
        <v>122.82</v>
      </c>
    </row>
    <row r="31" spans="1:14" x14ac:dyDescent="0.35">
      <c r="A31" s="1">
        <v>8</v>
      </c>
      <c r="B31" s="1" t="s">
        <v>269</v>
      </c>
      <c r="C31" s="1" t="s">
        <v>10</v>
      </c>
      <c r="D31" s="1">
        <v>357647</v>
      </c>
      <c r="E31" s="2">
        <v>68.31</v>
      </c>
      <c r="F31" s="2">
        <v>260.39</v>
      </c>
    </row>
    <row r="32" spans="1:14" x14ac:dyDescent="0.35">
      <c r="A32" s="1">
        <v>8</v>
      </c>
      <c r="B32" s="1" t="s">
        <v>269</v>
      </c>
      <c r="C32" s="1" t="s">
        <v>13</v>
      </c>
      <c r="D32" s="1">
        <v>14880</v>
      </c>
      <c r="E32" s="2">
        <v>84.29</v>
      </c>
      <c r="F32" s="2">
        <v>385.28</v>
      </c>
    </row>
    <row r="33" spans="1:6" x14ac:dyDescent="0.35">
      <c r="A33" s="1">
        <v>8</v>
      </c>
      <c r="B33" s="1" t="s">
        <v>269</v>
      </c>
      <c r="C33" s="1" t="s">
        <v>9</v>
      </c>
      <c r="D33" s="1">
        <v>288486</v>
      </c>
      <c r="E33" s="2">
        <v>72.36</v>
      </c>
      <c r="F33" s="2">
        <v>154.74</v>
      </c>
    </row>
    <row r="34" spans="1:6" x14ac:dyDescent="0.35">
      <c r="A34" s="1">
        <v>8</v>
      </c>
      <c r="B34" s="1" t="s">
        <v>269</v>
      </c>
      <c r="C34" s="1" t="s">
        <v>11</v>
      </c>
      <c r="D34" s="1">
        <v>5952</v>
      </c>
      <c r="E34" s="2">
        <v>79.819999999999993</v>
      </c>
      <c r="F34" s="2">
        <v>122.82</v>
      </c>
    </row>
    <row r="35" spans="1:6" x14ac:dyDescent="0.35">
      <c r="A35" s="1">
        <v>9</v>
      </c>
      <c r="B35" s="1" t="s">
        <v>270</v>
      </c>
      <c r="C35" s="1" t="s">
        <v>10</v>
      </c>
      <c r="D35" s="1">
        <v>346110</v>
      </c>
      <c r="E35" s="2">
        <v>70.42</v>
      </c>
      <c r="F35" s="2">
        <v>260.39</v>
      </c>
    </row>
    <row r="36" spans="1:6" x14ac:dyDescent="0.35">
      <c r="A36" s="1">
        <v>9</v>
      </c>
      <c r="B36" s="1" t="s">
        <v>270</v>
      </c>
      <c r="C36" s="1" t="s">
        <v>13</v>
      </c>
      <c r="D36" s="1">
        <v>14400</v>
      </c>
      <c r="E36" s="2">
        <v>80.89</v>
      </c>
      <c r="F36" s="2">
        <v>385.28</v>
      </c>
    </row>
    <row r="37" spans="1:6" x14ac:dyDescent="0.35">
      <c r="A37" s="1">
        <v>9</v>
      </c>
      <c r="B37" s="1" t="s">
        <v>270</v>
      </c>
      <c r="C37" s="1" t="s">
        <v>9</v>
      </c>
      <c r="D37" s="1">
        <v>279180</v>
      </c>
      <c r="E37" s="2">
        <v>72.64</v>
      </c>
      <c r="F37" s="2">
        <v>154.74</v>
      </c>
    </row>
    <row r="38" spans="1:6" x14ac:dyDescent="0.35">
      <c r="A38" s="1">
        <v>9</v>
      </c>
      <c r="B38" s="1" t="s">
        <v>270</v>
      </c>
      <c r="C38" s="1" t="s">
        <v>11</v>
      </c>
      <c r="D38" s="1">
        <v>5760</v>
      </c>
      <c r="E38" s="2">
        <v>80.17</v>
      </c>
      <c r="F38" s="2">
        <v>122.82</v>
      </c>
    </row>
    <row r="39" spans="1:6" x14ac:dyDescent="0.35">
      <c r="A39" s="1">
        <v>10</v>
      </c>
      <c r="B39" s="1" t="s">
        <v>271</v>
      </c>
      <c r="C39" s="1" t="s">
        <v>10</v>
      </c>
      <c r="D39" s="1">
        <v>357647</v>
      </c>
      <c r="E39" s="2">
        <v>72.38</v>
      </c>
      <c r="F39" s="2">
        <v>260.39</v>
      </c>
    </row>
    <row r="40" spans="1:6" x14ac:dyDescent="0.35">
      <c r="A40" s="1">
        <v>10</v>
      </c>
      <c r="B40" s="1" t="s">
        <v>271</v>
      </c>
      <c r="C40" s="1" t="s">
        <v>13</v>
      </c>
      <c r="D40" s="1">
        <v>14880</v>
      </c>
      <c r="E40" s="2">
        <v>84.42</v>
      </c>
      <c r="F40" s="2">
        <v>385.28</v>
      </c>
    </row>
    <row r="41" spans="1:6" x14ac:dyDescent="0.35">
      <c r="A41" s="1">
        <v>10</v>
      </c>
      <c r="B41" s="1" t="s">
        <v>271</v>
      </c>
      <c r="C41" s="1" t="s">
        <v>9</v>
      </c>
      <c r="D41" s="1">
        <v>288486</v>
      </c>
      <c r="E41" s="2">
        <v>73.72</v>
      </c>
      <c r="F41" s="2">
        <v>154.74</v>
      </c>
    </row>
    <row r="42" spans="1:6" x14ac:dyDescent="0.35">
      <c r="A42" s="1">
        <v>10</v>
      </c>
      <c r="B42" s="1" t="s">
        <v>271</v>
      </c>
      <c r="C42" s="1" t="s">
        <v>11</v>
      </c>
      <c r="D42" s="1">
        <v>5952</v>
      </c>
      <c r="E42" s="2">
        <v>78.900000000000006</v>
      </c>
      <c r="F42" s="2">
        <v>122.82</v>
      </c>
    </row>
    <row r="43" spans="1:6" x14ac:dyDescent="0.35">
      <c r="A43" s="1">
        <v>11</v>
      </c>
      <c r="B43" s="1" t="s">
        <v>272</v>
      </c>
      <c r="C43" s="1" t="s">
        <v>10</v>
      </c>
      <c r="D43" s="1">
        <v>346110</v>
      </c>
      <c r="E43" s="2">
        <v>78</v>
      </c>
      <c r="F43" s="2">
        <v>260.39</v>
      </c>
    </row>
    <row r="44" spans="1:6" x14ac:dyDescent="0.35">
      <c r="A44" s="1">
        <v>11</v>
      </c>
      <c r="B44" s="1" t="s">
        <v>272</v>
      </c>
      <c r="C44" s="1" t="s">
        <v>13</v>
      </c>
      <c r="D44" s="1">
        <v>14400</v>
      </c>
      <c r="E44" s="2">
        <v>90.05</v>
      </c>
      <c r="F44" s="2">
        <v>385.28</v>
      </c>
    </row>
    <row r="45" spans="1:6" x14ac:dyDescent="0.35">
      <c r="A45" s="1">
        <v>11</v>
      </c>
      <c r="B45" s="1" t="s">
        <v>272</v>
      </c>
      <c r="C45" s="1" t="s">
        <v>9</v>
      </c>
      <c r="D45" s="1">
        <v>279180</v>
      </c>
      <c r="E45" s="2">
        <v>76.36</v>
      </c>
      <c r="F45" s="2">
        <v>154.74</v>
      </c>
    </row>
    <row r="46" spans="1:6" x14ac:dyDescent="0.35">
      <c r="A46" s="1">
        <v>11</v>
      </c>
      <c r="B46" s="1" t="s">
        <v>272</v>
      </c>
      <c r="C46" s="1" t="s">
        <v>11</v>
      </c>
      <c r="D46" s="1">
        <v>5760</v>
      </c>
      <c r="E46" s="2">
        <v>81.91</v>
      </c>
      <c r="F46" s="2">
        <v>122.82</v>
      </c>
    </row>
    <row r="47" spans="1:6" x14ac:dyDescent="0.35">
      <c r="A47" s="1">
        <v>12</v>
      </c>
      <c r="B47" s="1" t="s">
        <v>273</v>
      </c>
      <c r="C47" s="1" t="s">
        <v>10</v>
      </c>
      <c r="D47" s="1">
        <v>357647</v>
      </c>
      <c r="E47" s="2">
        <v>74.89</v>
      </c>
      <c r="F47" s="2">
        <v>260.39</v>
      </c>
    </row>
    <row r="48" spans="1:6" x14ac:dyDescent="0.35">
      <c r="A48" s="1">
        <v>12</v>
      </c>
      <c r="B48" s="1" t="s">
        <v>273</v>
      </c>
      <c r="C48" s="1" t="s">
        <v>13</v>
      </c>
      <c r="D48" s="1">
        <v>14880</v>
      </c>
      <c r="E48" s="2">
        <v>86.94</v>
      </c>
      <c r="F48" s="2">
        <v>385.28</v>
      </c>
    </row>
    <row r="49" spans="1:6" x14ac:dyDescent="0.35">
      <c r="A49" s="1">
        <v>12</v>
      </c>
      <c r="B49" s="1" t="s">
        <v>273</v>
      </c>
      <c r="C49" s="1" t="s">
        <v>9</v>
      </c>
      <c r="D49" s="1">
        <v>288486</v>
      </c>
      <c r="E49" s="2">
        <v>69.209999999999994</v>
      </c>
      <c r="F49" s="2">
        <v>154.74</v>
      </c>
    </row>
  </sheetData>
  <mergeCells count="1">
    <mergeCell ref="A1:F1"/>
  </mergeCells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G11" sqref="G11"/>
    </sheetView>
  </sheetViews>
  <sheetFormatPr defaultRowHeight="14.5" x14ac:dyDescent="0.35"/>
  <cols>
    <col min="1" max="1" width="38.36328125" bestFit="1" customWidth="1"/>
    <col min="2" max="2" width="9.7265625" bestFit="1" customWidth="1"/>
    <col min="3" max="3" width="31" bestFit="1" customWidth="1"/>
    <col min="4" max="4" width="9.7265625" bestFit="1" customWidth="1"/>
  </cols>
  <sheetData>
    <row r="1" spans="1:2" ht="17.5" x14ac:dyDescent="0.35">
      <c r="A1" s="9" t="s">
        <v>274</v>
      </c>
    </row>
    <row r="3" spans="1:2" x14ac:dyDescent="0.35">
      <c r="A3" s="10" t="s">
        <v>275</v>
      </c>
      <c r="B3" s="12" t="s">
        <v>276</v>
      </c>
    </row>
    <row r="4" spans="1:2" x14ac:dyDescent="0.35">
      <c r="A4" s="13" t="s">
        <v>277</v>
      </c>
      <c r="B4" s="14">
        <v>30259</v>
      </c>
    </row>
    <row r="5" spans="1:2" x14ac:dyDescent="0.35">
      <c r="A5" s="13" t="s">
        <v>278</v>
      </c>
      <c r="B5" s="14">
        <v>11152576</v>
      </c>
    </row>
    <row r="6" spans="1:2" x14ac:dyDescent="0.35">
      <c r="A6" s="13" t="s">
        <v>279</v>
      </c>
      <c r="B6" s="14">
        <v>980550</v>
      </c>
    </row>
    <row r="7" spans="1:2" x14ac:dyDescent="0.35">
      <c r="A7" s="13" t="s">
        <v>280</v>
      </c>
      <c r="B7" s="11">
        <v>230</v>
      </c>
    </row>
    <row r="8" spans="1:2" x14ac:dyDescent="0.35">
      <c r="A8" s="13" t="s">
        <v>281</v>
      </c>
      <c r="B8" s="11">
        <v>0</v>
      </c>
    </row>
    <row r="9" spans="1:2" x14ac:dyDescent="0.35">
      <c r="A9" s="13" t="s">
        <v>282</v>
      </c>
      <c r="B9" s="14">
        <v>108040</v>
      </c>
    </row>
    <row r="10" spans="1:2" x14ac:dyDescent="0.35">
      <c r="A10" s="13" t="s">
        <v>283</v>
      </c>
      <c r="B10" s="11">
        <v>296</v>
      </c>
    </row>
    <row r="11" spans="1:2" x14ac:dyDescent="0.35">
      <c r="A11" s="13" t="s">
        <v>284</v>
      </c>
      <c r="B11" s="11">
        <v>223</v>
      </c>
    </row>
    <row r="12" spans="1:2" x14ac:dyDescent="0.35">
      <c r="A12" s="13" t="s">
        <v>285</v>
      </c>
      <c r="B12" s="11">
        <v>223</v>
      </c>
    </row>
    <row r="13" spans="1:2" x14ac:dyDescent="0.35">
      <c r="A13" s="13" t="s">
        <v>286</v>
      </c>
      <c r="B13" s="11">
        <v>0</v>
      </c>
    </row>
    <row r="14" spans="1:2" x14ac:dyDescent="0.35">
      <c r="A14" s="13" t="s">
        <v>287</v>
      </c>
      <c r="B14" s="11">
        <v>0</v>
      </c>
    </row>
    <row r="15" spans="1:2" x14ac:dyDescent="0.35">
      <c r="A15" s="13" t="s">
        <v>288</v>
      </c>
      <c r="B15" s="11">
        <v>0</v>
      </c>
    </row>
    <row r="16" spans="1:2" x14ac:dyDescent="0.35">
      <c r="A16" s="13" t="s">
        <v>289</v>
      </c>
      <c r="B16" s="11">
        <v>0</v>
      </c>
    </row>
    <row r="17" spans="1:2" x14ac:dyDescent="0.35">
      <c r="A17" s="13" t="s">
        <v>290</v>
      </c>
      <c r="B17" s="1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Room Type &amp; Supply</vt:lpstr>
      <vt:lpstr>Q2 Host Concentration</vt:lpstr>
      <vt:lpstr>Q3 Neighbourhood Prices</vt:lpstr>
      <vt:lpstr>Q4 Superhost Pricing</vt:lpstr>
      <vt:lpstr>Q5 Seasonal Availability</vt:lpstr>
      <vt:lpstr>Inspection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2026-09-23T18:04:23Z</dcterms:created>
  <dcterms:modified xsi:type="dcterms:W3CDTF">2026-09-23T18:52:40Z</dcterms:modified>
</cp:coreProperties>
</file>